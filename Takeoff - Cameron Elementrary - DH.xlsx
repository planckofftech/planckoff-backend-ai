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planckoff.sharepoint.com/sites/DHTA/Shared Documents/Door &amp; TA/SOFTWARE/cameron elementary school/"/>
    </mc:Choice>
  </mc:AlternateContent>
  <xr:revisionPtr revIDLastSave="113" documentId="11_0C44978ECC4C39445C0EF28CA7BFF6403EE5F2BD" xr6:coauthVersionLast="47" xr6:coauthVersionMax="47" xr10:uidLastSave="{A445F0DC-F370-4F75-AE7D-1A954FAE98C2}"/>
  <bookViews>
    <workbookView xWindow="-120" yWindow="-120" windowWidth="29040" windowHeight="15720" firstSheet="1" activeTab="2" xr2:uid="{00000000-000D-0000-FFFF-FFFF00000000}"/>
  </bookViews>
  <sheets>
    <sheet name="WOOD DOOR" sheetId="7" r:id="rId1"/>
    <sheet name="HM DOOR" sheetId="6" r:id="rId2"/>
    <sheet name="ALL DOOR" sheetId="1" r:id="rId3"/>
    <sheet name="Hardware - WD" sheetId="8" r:id="rId4"/>
    <sheet name="Hardware - HM" sheetId="10" r:id="rId5"/>
    <sheet name="Hardware Notes" sheetId="9" r:id="rId6"/>
  </sheets>
  <definedNames>
    <definedName name="_xlnm._FilterDatabase" localSheetId="2" hidden="1">'ALL DOOR'!$A$1:$AE$157</definedName>
    <definedName name="_xlnm._FilterDatabase" localSheetId="4" hidden="1">'Hardware - HM'!$A$4:$EQ$73</definedName>
    <definedName name="_xlnm._FilterDatabase" localSheetId="3" hidden="1">'Hardware - WD'!$A$4:$EQ$55</definedName>
    <definedName name="_xlnm._FilterDatabase" localSheetId="1" hidden="1">'HM DOOR'!$A$1:$AE$45</definedName>
    <definedName name="_xlnm._FilterDatabase" localSheetId="0" hidden="1">'WOOD DOOR'!$A$1:$AD$104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0" l="1"/>
  <c r="EO73" i="10"/>
  <c r="EN73" i="10"/>
  <c r="EL73" i="10"/>
  <c r="EK73" i="10"/>
  <c r="EI73" i="10"/>
  <c r="EH73" i="10"/>
  <c r="EF73" i="10"/>
  <c r="EE73" i="10"/>
  <c r="EC73" i="10"/>
  <c r="EB73" i="10"/>
  <c r="DZ73" i="10"/>
  <c r="DY73" i="10"/>
  <c r="DW73" i="10"/>
  <c r="DV73" i="10"/>
  <c r="DT73" i="10"/>
  <c r="DS73" i="10"/>
  <c r="DQ73" i="10"/>
  <c r="DP73" i="10"/>
  <c r="DN73" i="10"/>
  <c r="DM73" i="10"/>
  <c r="DK73" i="10"/>
  <c r="DJ73" i="10"/>
  <c r="DH73" i="10"/>
  <c r="DG73" i="10"/>
  <c r="DE73" i="10"/>
  <c r="DD73" i="10"/>
  <c r="DB73" i="10"/>
  <c r="DA73" i="10"/>
  <c r="CY73" i="10"/>
  <c r="CX73" i="10"/>
  <c r="CV73" i="10"/>
  <c r="CU73" i="10"/>
  <c r="CS73" i="10"/>
  <c r="CR73" i="10"/>
  <c r="CP73" i="10"/>
  <c r="CO73" i="10"/>
  <c r="CM73" i="10"/>
  <c r="CL73" i="10"/>
  <c r="CJ73" i="10"/>
  <c r="CI73" i="10"/>
  <c r="CG73" i="10"/>
  <c r="CF73" i="10"/>
  <c r="CD73" i="10"/>
  <c r="CC73" i="10"/>
  <c r="CA73" i="10"/>
  <c r="BZ73" i="10"/>
  <c r="BX73" i="10"/>
  <c r="BW73" i="10"/>
  <c r="BU73" i="10"/>
  <c r="BT73" i="10"/>
  <c r="BR73" i="10"/>
  <c r="BQ73" i="10"/>
  <c r="BO73" i="10"/>
  <c r="BN73" i="10"/>
  <c r="BL73" i="10"/>
  <c r="BK73" i="10"/>
  <c r="BI73" i="10"/>
  <c r="BH73" i="10"/>
  <c r="BF73" i="10"/>
  <c r="BE73" i="10"/>
  <c r="BC73" i="10"/>
  <c r="BB73" i="10"/>
  <c r="AZ73" i="10"/>
  <c r="AY73" i="10"/>
  <c r="AW73" i="10"/>
  <c r="AV73" i="10"/>
  <c r="AT73" i="10"/>
  <c r="AS73" i="10"/>
  <c r="AQ73" i="10"/>
  <c r="AP73" i="10"/>
  <c r="AN73" i="10"/>
  <c r="AM73" i="10"/>
  <c r="AK73" i="10"/>
  <c r="AJ73" i="10"/>
  <c r="AH73" i="10"/>
  <c r="AG73" i="10"/>
  <c r="AE73" i="10"/>
  <c r="AD73" i="10"/>
  <c r="AB73" i="10"/>
  <c r="AA73" i="10"/>
  <c r="Y73" i="10"/>
  <c r="X73" i="10"/>
  <c r="V73" i="10"/>
  <c r="U73" i="10"/>
  <c r="S73" i="10"/>
  <c r="R73" i="10"/>
  <c r="P73" i="10"/>
  <c r="O73" i="10"/>
  <c r="M73" i="10"/>
  <c r="L73" i="10"/>
  <c r="J73" i="10"/>
  <c r="I73" i="10"/>
  <c r="EO72" i="10"/>
  <c r="EN72" i="10"/>
  <c r="EL72" i="10"/>
  <c r="EK72" i="10"/>
  <c r="EI72" i="10"/>
  <c r="EH72" i="10"/>
  <c r="EF72" i="10"/>
  <c r="EE72" i="10"/>
  <c r="EC72" i="10"/>
  <c r="EB72" i="10"/>
  <c r="DZ72" i="10"/>
  <c r="DY72" i="10"/>
  <c r="DW72" i="10"/>
  <c r="DV72" i="10"/>
  <c r="DT72" i="10"/>
  <c r="DS72" i="10"/>
  <c r="DQ72" i="10"/>
  <c r="DP72" i="10"/>
  <c r="DN72" i="10"/>
  <c r="DM72" i="10"/>
  <c r="DK72" i="10"/>
  <c r="DJ72" i="10"/>
  <c r="DH72" i="10"/>
  <c r="DG72" i="10"/>
  <c r="DE72" i="10"/>
  <c r="DD72" i="10"/>
  <c r="DB72" i="10"/>
  <c r="DA72" i="10"/>
  <c r="CY72" i="10"/>
  <c r="CX72" i="10"/>
  <c r="CV72" i="10"/>
  <c r="CU72" i="10"/>
  <c r="CS72" i="10"/>
  <c r="CR72" i="10"/>
  <c r="CP72" i="10"/>
  <c r="CO72" i="10"/>
  <c r="CM72" i="10"/>
  <c r="CL72" i="10"/>
  <c r="CJ72" i="10"/>
  <c r="CI72" i="10"/>
  <c r="CG72" i="10"/>
  <c r="CF72" i="10"/>
  <c r="CD72" i="10"/>
  <c r="CC72" i="10"/>
  <c r="CA72" i="10"/>
  <c r="BZ72" i="10"/>
  <c r="BX72" i="10"/>
  <c r="BW72" i="10"/>
  <c r="BU72" i="10"/>
  <c r="BT72" i="10"/>
  <c r="BR72" i="10"/>
  <c r="BQ72" i="10"/>
  <c r="BO72" i="10"/>
  <c r="BN72" i="10"/>
  <c r="BL72" i="10"/>
  <c r="BK72" i="10"/>
  <c r="BI72" i="10"/>
  <c r="BH72" i="10"/>
  <c r="BF72" i="10"/>
  <c r="BE72" i="10"/>
  <c r="BC72" i="10"/>
  <c r="BB72" i="10"/>
  <c r="AZ72" i="10"/>
  <c r="AY72" i="10"/>
  <c r="AW72" i="10"/>
  <c r="AV72" i="10"/>
  <c r="AT72" i="10"/>
  <c r="AS72" i="10"/>
  <c r="AQ72" i="10"/>
  <c r="AP72" i="10"/>
  <c r="AN72" i="10"/>
  <c r="AM72" i="10"/>
  <c r="AK72" i="10"/>
  <c r="AJ72" i="10"/>
  <c r="AH72" i="10"/>
  <c r="AG72" i="10"/>
  <c r="AE72" i="10"/>
  <c r="AD72" i="10"/>
  <c r="AB72" i="10"/>
  <c r="AA72" i="10"/>
  <c r="Y72" i="10"/>
  <c r="X72" i="10"/>
  <c r="V72" i="10"/>
  <c r="U72" i="10"/>
  <c r="S72" i="10"/>
  <c r="R72" i="10"/>
  <c r="P72" i="10"/>
  <c r="O72" i="10"/>
  <c r="M72" i="10"/>
  <c r="L72" i="10"/>
  <c r="J72" i="10"/>
  <c r="I72" i="10"/>
  <c r="EO71" i="10"/>
  <c r="EN71" i="10"/>
  <c r="EL71" i="10"/>
  <c r="EK71" i="10"/>
  <c r="EI71" i="10"/>
  <c r="EH71" i="10"/>
  <c r="EF71" i="10"/>
  <c r="EE71" i="10"/>
  <c r="EC71" i="10"/>
  <c r="EB71" i="10"/>
  <c r="DZ71" i="10"/>
  <c r="DY71" i="10"/>
  <c r="DW71" i="10"/>
  <c r="DV71" i="10"/>
  <c r="DT71" i="10"/>
  <c r="DS71" i="10"/>
  <c r="DQ71" i="10"/>
  <c r="DP71" i="10"/>
  <c r="DN71" i="10"/>
  <c r="DM71" i="10"/>
  <c r="DK71" i="10"/>
  <c r="DJ71" i="10"/>
  <c r="DH71" i="10"/>
  <c r="DG71" i="10"/>
  <c r="DE71" i="10"/>
  <c r="DD71" i="10"/>
  <c r="DB71" i="10"/>
  <c r="DA71" i="10"/>
  <c r="CY71" i="10"/>
  <c r="CX71" i="10"/>
  <c r="CV71" i="10"/>
  <c r="CU71" i="10"/>
  <c r="CS71" i="10"/>
  <c r="CR71" i="10"/>
  <c r="CP71" i="10"/>
  <c r="CO71" i="10"/>
  <c r="CM71" i="10"/>
  <c r="CL71" i="10"/>
  <c r="CJ71" i="10"/>
  <c r="CI71" i="10"/>
  <c r="CG71" i="10"/>
  <c r="CF71" i="10"/>
  <c r="CD71" i="10"/>
  <c r="CC71" i="10"/>
  <c r="CA71" i="10"/>
  <c r="BZ71" i="10"/>
  <c r="BX71" i="10"/>
  <c r="BW71" i="10"/>
  <c r="BU71" i="10"/>
  <c r="BT71" i="10"/>
  <c r="BR71" i="10"/>
  <c r="BQ71" i="10"/>
  <c r="BO71" i="10"/>
  <c r="BN71" i="10"/>
  <c r="BL71" i="10"/>
  <c r="BK71" i="10"/>
  <c r="BI71" i="10"/>
  <c r="BH71" i="10"/>
  <c r="BF71" i="10"/>
  <c r="BE71" i="10"/>
  <c r="BC71" i="10"/>
  <c r="BB71" i="10"/>
  <c r="AZ71" i="10"/>
  <c r="AY71" i="10"/>
  <c r="AW71" i="10"/>
  <c r="AV71" i="10"/>
  <c r="AT71" i="10"/>
  <c r="AS71" i="10"/>
  <c r="AQ71" i="10"/>
  <c r="AP71" i="10"/>
  <c r="AN71" i="10"/>
  <c r="AM71" i="10"/>
  <c r="AK71" i="10"/>
  <c r="AJ71" i="10"/>
  <c r="AH71" i="10"/>
  <c r="AG71" i="10"/>
  <c r="AE71" i="10"/>
  <c r="AD71" i="10"/>
  <c r="AB71" i="10"/>
  <c r="AA71" i="10"/>
  <c r="Y71" i="10"/>
  <c r="X71" i="10"/>
  <c r="V71" i="10"/>
  <c r="U71" i="10"/>
  <c r="S71" i="10"/>
  <c r="R71" i="10"/>
  <c r="P71" i="10"/>
  <c r="O71" i="10"/>
  <c r="M71" i="10"/>
  <c r="L71" i="10"/>
  <c r="J71" i="10"/>
  <c r="I71" i="10"/>
  <c r="EO70" i="10"/>
  <c r="EN70" i="10"/>
  <c r="EL70" i="10"/>
  <c r="EK70" i="10"/>
  <c r="EI70" i="10"/>
  <c r="EH70" i="10"/>
  <c r="EF70" i="10"/>
  <c r="EE70" i="10"/>
  <c r="EC70" i="10"/>
  <c r="EB70" i="10"/>
  <c r="DZ70" i="10"/>
  <c r="DY70" i="10"/>
  <c r="DW70" i="10"/>
  <c r="DV70" i="10"/>
  <c r="DT70" i="10"/>
  <c r="DS70" i="10"/>
  <c r="DQ70" i="10"/>
  <c r="DP70" i="10"/>
  <c r="DN70" i="10"/>
  <c r="DM70" i="10"/>
  <c r="DK70" i="10"/>
  <c r="DJ70" i="10"/>
  <c r="DH70" i="10"/>
  <c r="DG70" i="10"/>
  <c r="DE70" i="10"/>
  <c r="DD70" i="10"/>
  <c r="DB70" i="10"/>
  <c r="DA70" i="10"/>
  <c r="CY70" i="10"/>
  <c r="CX70" i="10"/>
  <c r="CV70" i="10"/>
  <c r="CU70" i="10"/>
  <c r="CS70" i="10"/>
  <c r="CR70" i="10"/>
  <c r="CP70" i="10"/>
  <c r="CO70" i="10"/>
  <c r="CM70" i="10"/>
  <c r="CL70" i="10"/>
  <c r="CJ70" i="10"/>
  <c r="CI70" i="10"/>
  <c r="CG70" i="10"/>
  <c r="CF70" i="10"/>
  <c r="CD70" i="10"/>
  <c r="CC70" i="10"/>
  <c r="CA70" i="10"/>
  <c r="BZ70" i="10"/>
  <c r="BX70" i="10"/>
  <c r="BW70" i="10"/>
  <c r="BU70" i="10"/>
  <c r="BT70" i="10"/>
  <c r="BR70" i="10"/>
  <c r="BQ70" i="10"/>
  <c r="BO70" i="10"/>
  <c r="BN70" i="10"/>
  <c r="BL70" i="10"/>
  <c r="BK70" i="10"/>
  <c r="BI70" i="10"/>
  <c r="BH70" i="10"/>
  <c r="BF70" i="10"/>
  <c r="BE70" i="10"/>
  <c r="BC70" i="10"/>
  <c r="BB70" i="10"/>
  <c r="AZ70" i="10"/>
  <c r="AY70" i="10"/>
  <c r="AW70" i="10"/>
  <c r="AV70" i="10"/>
  <c r="AT70" i="10"/>
  <c r="AS70" i="10"/>
  <c r="AQ70" i="10"/>
  <c r="AP70" i="10"/>
  <c r="AN70" i="10"/>
  <c r="AM70" i="10"/>
  <c r="AK70" i="10"/>
  <c r="AJ70" i="10"/>
  <c r="AH70" i="10"/>
  <c r="AG70" i="10"/>
  <c r="AE70" i="10"/>
  <c r="AD70" i="10"/>
  <c r="AB70" i="10"/>
  <c r="AA70" i="10"/>
  <c r="Y70" i="10"/>
  <c r="X70" i="10"/>
  <c r="V70" i="10"/>
  <c r="U70" i="10"/>
  <c r="S70" i="10"/>
  <c r="R70" i="10"/>
  <c r="P70" i="10"/>
  <c r="O70" i="10"/>
  <c r="M70" i="10"/>
  <c r="L70" i="10"/>
  <c r="J70" i="10"/>
  <c r="I70" i="10"/>
  <c r="EO69" i="10"/>
  <c r="EN69" i="10"/>
  <c r="EL69" i="10"/>
  <c r="EK69" i="10"/>
  <c r="EI69" i="10"/>
  <c r="EH69" i="10"/>
  <c r="EF69" i="10"/>
  <c r="EE69" i="10"/>
  <c r="EC69" i="10"/>
  <c r="EB69" i="10"/>
  <c r="DZ69" i="10"/>
  <c r="DY69" i="10"/>
  <c r="DW69" i="10"/>
  <c r="DV69" i="10"/>
  <c r="DT69" i="10"/>
  <c r="DS69" i="10"/>
  <c r="DQ69" i="10"/>
  <c r="DP69" i="10"/>
  <c r="DN69" i="10"/>
  <c r="DM69" i="10"/>
  <c r="DK69" i="10"/>
  <c r="DJ69" i="10"/>
  <c r="DH69" i="10"/>
  <c r="DG69" i="10"/>
  <c r="DE69" i="10"/>
  <c r="DD69" i="10"/>
  <c r="DB69" i="10"/>
  <c r="DA69" i="10"/>
  <c r="CY69" i="10"/>
  <c r="CX69" i="10"/>
  <c r="CV69" i="10"/>
  <c r="CU69" i="10"/>
  <c r="CS69" i="10"/>
  <c r="CR69" i="10"/>
  <c r="CP69" i="10"/>
  <c r="CO69" i="10"/>
  <c r="CM69" i="10"/>
  <c r="CL69" i="10"/>
  <c r="CJ69" i="10"/>
  <c r="CI69" i="10"/>
  <c r="CG69" i="10"/>
  <c r="CF69" i="10"/>
  <c r="CD69" i="10"/>
  <c r="CC69" i="10"/>
  <c r="CA69" i="10"/>
  <c r="BZ69" i="10"/>
  <c r="BX69" i="10"/>
  <c r="BW69" i="10"/>
  <c r="BU69" i="10"/>
  <c r="BT69" i="10"/>
  <c r="BR69" i="10"/>
  <c r="BQ69" i="10"/>
  <c r="BO69" i="10"/>
  <c r="BN69" i="10"/>
  <c r="BL69" i="10"/>
  <c r="BK69" i="10"/>
  <c r="BI69" i="10"/>
  <c r="BH69" i="10"/>
  <c r="BF69" i="10"/>
  <c r="BE69" i="10"/>
  <c r="BC69" i="10"/>
  <c r="BB69" i="10"/>
  <c r="AZ69" i="10"/>
  <c r="AY69" i="10"/>
  <c r="AW69" i="10"/>
  <c r="AV69" i="10"/>
  <c r="AT69" i="10"/>
  <c r="AS69" i="10"/>
  <c r="AQ69" i="10"/>
  <c r="AP69" i="10"/>
  <c r="AN69" i="10"/>
  <c r="AM69" i="10"/>
  <c r="AK69" i="10"/>
  <c r="AJ69" i="10"/>
  <c r="AH69" i="10"/>
  <c r="AG69" i="10"/>
  <c r="AE69" i="10"/>
  <c r="AD69" i="10"/>
  <c r="AB69" i="10"/>
  <c r="AA69" i="10"/>
  <c r="Y69" i="10"/>
  <c r="X69" i="10"/>
  <c r="V69" i="10"/>
  <c r="U69" i="10"/>
  <c r="S69" i="10"/>
  <c r="R69" i="10"/>
  <c r="P69" i="10"/>
  <c r="O69" i="10"/>
  <c r="M69" i="10"/>
  <c r="L69" i="10"/>
  <c r="J69" i="10"/>
  <c r="I69" i="10"/>
  <c r="EO68" i="10"/>
  <c r="EN68" i="10"/>
  <c r="EL68" i="10"/>
  <c r="EK68" i="10"/>
  <c r="EI68" i="10"/>
  <c r="EH68" i="10"/>
  <c r="EF68" i="10"/>
  <c r="EE68" i="10"/>
  <c r="EC68" i="10"/>
  <c r="EB68" i="10"/>
  <c r="DZ68" i="10"/>
  <c r="DY68" i="10"/>
  <c r="DW68" i="10"/>
  <c r="DV68" i="10"/>
  <c r="DT68" i="10"/>
  <c r="DS68" i="10"/>
  <c r="DQ68" i="10"/>
  <c r="DP68" i="10"/>
  <c r="DN68" i="10"/>
  <c r="DM68" i="10"/>
  <c r="DK68" i="10"/>
  <c r="DJ68" i="10"/>
  <c r="DH68" i="10"/>
  <c r="DG68" i="10"/>
  <c r="DE68" i="10"/>
  <c r="DD68" i="10"/>
  <c r="DB68" i="10"/>
  <c r="DA68" i="10"/>
  <c r="CY68" i="10"/>
  <c r="CX68" i="10"/>
  <c r="CV68" i="10"/>
  <c r="CU68" i="10"/>
  <c r="CS68" i="10"/>
  <c r="CR68" i="10"/>
  <c r="CP68" i="10"/>
  <c r="CO68" i="10"/>
  <c r="CM68" i="10"/>
  <c r="CL68" i="10"/>
  <c r="CJ68" i="10"/>
  <c r="CI68" i="10"/>
  <c r="CG68" i="10"/>
  <c r="CF68" i="10"/>
  <c r="CD68" i="10"/>
  <c r="CC68" i="10"/>
  <c r="CA68" i="10"/>
  <c r="BZ68" i="10"/>
  <c r="BX68" i="10"/>
  <c r="BW68" i="10"/>
  <c r="BU68" i="10"/>
  <c r="BT68" i="10"/>
  <c r="BR68" i="10"/>
  <c r="BQ68" i="10"/>
  <c r="BO68" i="10"/>
  <c r="BN68" i="10"/>
  <c r="BL68" i="10"/>
  <c r="BK68" i="10"/>
  <c r="BI68" i="10"/>
  <c r="BH68" i="10"/>
  <c r="BF68" i="10"/>
  <c r="BE68" i="10"/>
  <c r="BC68" i="10"/>
  <c r="BB68" i="10"/>
  <c r="AZ68" i="10"/>
  <c r="AY68" i="10"/>
  <c r="AW68" i="10"/>
  <c r="AV68" i="10"/>
  <c r="AT68" i="10"/>
  <c r="AS68" i="10"/>
  <c r="AQ68" i="10"/>
  <c r="AP68" i="10"/>
  <c r="AN68" i="10"/>
  <c r="AM68" i="10"/>
  <c r="AK68" i="10"/>
  <c r="AJ68" i="10"/>
  <c r="AH68" i="10"/>
  <c r="AG68" i="10"/>
  <c r="AE68" i="10"/>
  <c r="AD68" i="10"/>
  <c r="AB68" i="10"/>
  <c r="AA68" i="10"/>
  <c r="Y68" i="10"/>
  <c r="X68" i="10"/>
  <c r="V68" i="10"/>
  <c r="U68" i="10"/>
  <c r="S68" i="10"/>
  <c r="R68" i="10"/>
  <c r="P68" i="10"/>
  <c r="O68" i="10"/>
  <c r="M68" i="10"/>
  <c r="L68" i="10"/>
  <c r="J68" i="10"/>
  <c r="I68" i="10"/>
  <c r="EO67" i="10"/>
  <c r="EN67" i="10"/>
  <c r="EL67" i="10"/>
  <c r="EK67" i="10"/>
  <c r="EI67" i="10"/>
  <c r="EH67" i="10"/>
  <c r="EF67" i="10"/>
  <c r="EE67" i="10"/>
  <c r="EC67" i="10"/>
  <c r="EB67" i="10"/>
  <c r="DZ67" i="10"/>
  <c r="DY67" i="10"/>
  <c r="DW67" i="10"/>
  <c r="DV67" i="10"/>
  <c r="DT67" i="10"/>
  <c r="DS67" i="10"/>
  <c r="DQ67" i="10"/>
  <c r="DP67" i="10"/>
  <c r="DN67" i="10"/>
  <c r="DM67" i="10"/>
  <c r="DK67" i="10"/>
  <c r="DJ67" i="10"/>
  <c r="DH67" i="10"/>
  <c r="DG67" i="10"/>
  <c r="DE67" i="10"/>
  <c r="DD67" i="10"/>
  <c r="DB67" i="10"/>
  <c r="DA67" i="10"/>
  <c r="CY67" i="10"/>
  <c r="CX67" i="10"/>
  <c r="CV67" i="10"/>
  <c r="CU67" i="10"/>
  <c r="CS67" i="10"/>
  <c r="CR67" i="10"/>
  <c r="CP67" i="10"/>
  <c r="CO67" i="10"/>
  <c r="CM67" i="10"/>
  <c r="CL67" i="10"/>
  <c r="CJ67" i="10"/>
  <c r="CI67" i="10"/>
  <c r="CG67" i="10"/>
  <c r="CF67" i="10"/>
  <c r="CD67" i="10"/>
  <c r="CC67" i="10"/>
  <c r="CA67" i="10"/>
  <c r="BZ67" i="10"/>
  <c r="BX67" i="10"/>
  <c r="BW67" i="10"/>
  <c r="BU67" i="10"/>
  <c r="BT67" i="10"/>
  <c r="BR67" i="10"/>
  <c r="BQ67" i="10"/>
  <c r="BO67" i="10"/>
  <c r="BN67" i="10"/>
  <c r="BL67" i="10"/>
  <c r="BK67" i="10"/>
  <c r="BI67" i="10"/>
  <c r="BH67" i="10"/>
  <c r="BF67" i="10"/>
  <c r="BE67" i="10"/>
  <c r="BC67" i="10"/>
  <c r="BB67" i="10"/>
  <c r="AZ67" i="10"/>
  <c r="AY67" i="10"/>
  <c r="AW67" i="10"/>
  <c r="AV67" i="10"/>
  <c r="AT67" i="10"/>
  <c r="AS67" i="10"/>
  <c r="AQ67" i="10"/>
  <c r="AP67" i="10"/>
  <c r="AN67" i="10"/>
  <c r="AM67" i="10"/>
  <c r="AK67" i="10"/>
  <c r="AJ67" i="10"/>
  <c r="AH67" i="10"/>
  <c r="AG67" i="10"/>
  <c r="AE67" i="10"/>
  <c r="AD67" i="10"/>
  <c r="AB67" i="10"/>
  <c r="AA67" i="10"/>
  <c r="Y67" i="10"/>
  <c r="X67" i="10"/>
  <c r="V67" i="10"/>
  <c r="U67" i="10"/>
  <c r="S67" i="10"/>
  <c r="R67" i="10"/>
  <c r="P67" i="10"/>
  <c r="O67" i="10"/>
  <c r="M67" i="10"/>
  <c r="L67" i="10"/>
  <c r="J67" i="10"/>
  <c r="I67" i="10"/>
  <c r="EO66" i="10"/>
  <c r="EN66" i="10"/>
  <c r="EL66" i="10"/>
  <c r="EK66" i="10"/>
  <c r="EI66" i="10"/>
  <c r="EH66" i="10"/>
  <c r="EF66" i="10"/>
  <c r="EE66" i="10"/>
  <c r="EC66" i="10"/>
  <c r="EB66" i="10"/>
  <c r="DZ66" i="10"/>
  <c r="DY66" i="10"/>
  <c r="DW66" i="10"/>
  <c r="DV66" i="10"/>
  <c r="DT66" i="10"/>
  <c r="DS66" i="10"/>
  <c r="DQ66" i="10"/>
  <c r="DP66" i="10"/>
  <c r="DN66" i="10"/>
  <c r="DM66" i="10"/>
  <c r="DK66" i="10"/>
  <c r="DJ66" i="10"/>
  <c r="DH66" i="10"/>
  <c r="DG66" i="10"/>
  <c r="DE66" i="10"/>
  <c r="DD66" i="10"/>
  <c r="DB66" i="10"/>
  <c r="DA66" i="10"/>
  <c r="CY66" i="10"/>
  <c r="CX66" i="10"/>
  <c r="CV66" i="10"/>
  <c r="CU66" i="10"/>
  <c r="CS66" i="10"/>
  <c r="CR66" i="10"/>
  <c r="CP66" i="10"/>
  <c r="CO66" i="10"/>
  <c r="CM66" i="10"/>
  <c r="CL66" i="10"/>
  <c r="CJ66" i="10"/>
  <c r="CI66" i="10"/>
  <c r="CG66" i="10"/>
  <c r="CF66" i="10"/>
  <c r="CD66" i="10"/>
  <c r="CC66" i="10"/>
  <c r="CA66" i="10"/>
  <c r="BZ66" i="10"/>
  <c r="BX66" i="10"/>
  <c r="BW66" i="10"/>
  <c r="BU66" i="10"/>
  <c r="BT66" i="10"/>
  <c r="BR66" i="10"/>
  <c r="BQ66" i="10"/>
  <c r="BO66" i="10"/>
  <c r="BN66" i="10"/>
  <c r="BL66" i="10"/>
  <c r="BK66" i="10"/>
  <c r="BI66" i="10"/>
  <c r="BH66" i="10"/>
  <c r="BF66" i="10"/>
  <c r="BE66" i="10"/>
  <c r="BC66" i="10"/>
  <c r="BB66" i="10"/>
  <c r="AZ66" i="10"/>
  <c r="AY66" i="10"/>
  <c r="AW66" i="10"/>
  <c r="AV66" i="10"/>
  <c r="AT66" i="10"/>
  <c r="AS66" i="10"/>
  <c r="AQ66" i="10"/>
  <c r="AP66" i="10"/>
  <c r="AN66" i="10"/>
  <c r="AM66" i="10"/>
  <c r="AK66" i="10"/>
  <c r="AJ66" i="10"/>
  <c r="AH66" i="10"/>
  <c r="AG66" i="10"/>
  <c r="AE66" i="10"/>
  <c r="AD66" i="10"/>
  <c r="AB66" i="10"/>
  <c r="AA66" i="10"/>
  <c r="Y66" i="10"/>
  <c r="X66" i="10"/>
  <c r="V66" i="10"/>
  <c r="U66" i="10"/>
  <c r="S66" i="10"/>
  <c r="R66" i="10"/>
  <c r="P66" i="10"/>
  <c r="O66" i="10"/>
  <c r="M66" i="10"/>
  <c r="L66" i="10"/>
  <c r="J66" i="10"/>
  <c r="I66" i="10"/>
  <c r="EO65" i="10"/>
  <c r="EN65" i="10"/>
  <c r="EL65" i="10"/>
  <c r="EK65" i="10"/>
  <c r="EI65" i="10"/>
  <c r="EH65" i="10"/>
  <c r="EF65" i="10"/>
  <c r="EE65" i="10"/>
  <c r="EC65" i="10"/>
  <c r="EB65" i="10"/>
  <c r="DZ65" i="10"/>
  <c r="DY65" i="10"/>
  <c r="DW65" i="10"/>
  <c r="DV65" i="10"/>
  <c r="DT65" i="10"/>
  <c r="DS65" i="10"/>
  <c r="DQ65" i="10"/>
  <c r="DP65" i="10"/>
  <c r="DN65" i="10"/>
  <c r="DM65" i="10"/>
  <c r="DK65" i="10"/>
  <c r="DJ65" i="10"/>
  <c r="DH65" i="10"/>
  <c r="DG65" i="10"/>
  <c r="DE65" i="10"/>
  <c r="DD65" i="10"/>
  <c r="DB65" i="10"/>
  <c r="DA65" i="10"/>
  <c r="CY65" i="10"/>
  <c r="CX65" i="10"/>
  <c r="CV65" i="10"/>
  <c r="CU65" i="10"/>
  <c r="CS65" i="10"/>
  <c r="CR65" i="10"/>
  <c r="CP65" i="10"/>
  <c r="CO65" i="10"/>
  <c r="CM65" i="10"/>
  <c r="CL65" i="10"/>
  <c r="CJ65" i="10"/>
  <c r="CI65" i="10"/>
  <c r="CG65" i="10"/>
  <c r="CF65" i="10"/>
  <c r="CD65" i="10"/>
  <c r="CC65" i="10"/>
  <c r="CA65" i="10"/>
  <c r="BZ65" i="10"/>
  <c r="BX65" i="10"/>
  <c r="BW65" i="10"/>
  <c r="BU65" i="10"/>
  <c r="BT65" i="10"/>
  <c r="BR65" i="10"/>
  <c r="BQ65" i="10"/>
  <c r="BO65" i="10"/>
  <c r="BN65" i="10"/>
  <c r="BL65" i="10"/>
  <c r="BK65" i="10"/>
  <c r="BI65" i="10"/>
  <c r="BH65" i="10"/>
  <c r="BF65" i="10"/>
  <c r="BE65" i="10"/>
  <c r="BC65" i="10"/>
  <c r="BB65" i="10"/>
  <c r="AZ65" i="10"/>
  <c r="AY65" i="10"/>
  <c r="AW65" i="10"/>
  <c r="AV65" i="10"/>
  <c r="AT65" i="10"/>
  <c r="AS65" i="10"/>
  <c r="AQ65" i="10"/>
  <c r="AP65" i="10"/>
  <c r="AN65" i="10"/>
  <c r="AM65" i="10"/>
  <c r="AK65" i="10"/>
  <c r="AJ65" i="10"/>
  <c r="AH65" i="10"/>
  <c r="AG65" i="10"/>
  <c r="AE65" i="10"/>
  <c r="AD65" i="10"/>
  <c r="AB65" i="10"/>
  <c r="AA65" i="10"/>
  <c r="Y65" i="10"/>
  <c r="X65" i="10"/>
  <c r="V65" i="10"/>
  <c r="U65" i="10"/>
  <c r="S65" i="10"/>
  <c r="R65" i="10"/>
  <c r="P65" i="10"/>
  <c r="O65" i="10"/>
  <c r="M65" i="10"/>
  <c r="L65" i="10"/>
  <c r="J65" i="10"/>
  <c r="I65" i="10"/>
  <c r="EO64" i="10"/>
  <c r="EN64" i="10"/>
  <c r="EL64" i="10"/>
  <c r="EK64" i="10"/>
  <c r="EI64" i="10"/>
  <c r="EH64" i="10"/>
  <c r="EF64" i="10"/>
  <c r="EE64" i="10"/>
  <c r="EC64" i="10"/>
  <c r="EB64" i="10"/>
  <c r="DZ64" i="10"/>
  <c r="DY64" i="10"/>
  <c r="DW64" i="10"/>
  <c r="DV64" i="10"/>
  <c r="DT64" i="10"/>
  <c r="DS64" i="10"/>
  <c r="DQ64" i="10"/>
  <c r="DP64" i="10"/>
  <c r="DN64" i="10"/>
  <c r="DM64" i="10"/>
  <c r="DK64" i="10"/>
  <c r="DJ64" i="10"/>
  <c r="DH64" i="10"/>
  <c r="DG64" i="10"/>
  <c r="DE64" i="10"/>
  <c r="DD64" i="10"/>
  <c r="DB64" i="10"/>
  <c r="DA64" i="10"/>
  <c r="CY64" i="10"/>
  <c r="CX64" i="10"/>
  <c r="CV64" i="10"/>
  <c r="CU64" i="10"/>
  <c r="CS64" i="10"/>
  <c r="CR64" i="10"/>
  <c r="CP64" i="10"/>
  <c r="CO64" i="10"/>
  <c r="CM64" i="10"/>
  <c r="CL64" i="10"/>
  <c r="CJ64" i="10"/>
  <c r="CI64" i="10"/>
  <c r="CG64" i="10"/>
  <c r="CF64" i="10"/>
  <c r="CD64" i="10"/>
  <c r="CC64" i="10"/>
  <c r="CA64" i="10"/>
  <c r="BZ64" i="10"/>
  <c r="BX64" i="10"/>
  <c r="BW64" i="10"/>
  <c r="BU64" i="10"/>
  <c r="BT64" i="10"/>
  <c r="BR64" i="10"/>
  <c r="BQ64" i="10"/>
  <c r="BO64" i="10"/>
  <c r="BN64" i="10"/>
  <c r="BL64" i="10"/>
  <c r="BK64" i="10"/>
  <c r="BI64" i="10"/>
  <c r="BH64" i="10"/>
  <c r="BF64" i="10"/>
  <c r="BE64" i="10"/>
  <c r="BC64" i="10"/>
  <c r="BB64" i="10"/>
  <c r="AZ64" i="10"/>
  <c r="AY64" i="10"/>
  <c r="AW64" i="10"/>
  <c r="AV64" i="10"/>
  <c r="AT64" i="10"/>
  <c r="AS64" i="10"/>
  <c r="AQ64" i="10"/>
  <c r="AP64" i="10"/>
  <c r="AN64" i="10"/>
  <c r="AM64" i="10"/>
  <c r="AK64" i="10"/>
  <c r="AJ64" i="10"/>
  <c r="AH64" i="10"/>
  <c r="AG64" i="10"/>
  <c r="AE64" i="10"/>
  <c r="AD64" i="10"/>
  <c r="AB64" i="10"/>
  <c r="AA64" i="10"/>
  <c r="Y64" i="10"/>
  <c r="X64" i="10"/>
  <c r="V64" i="10"/>
  <c r="U64" i="10"/>
  <c r="S64" i="10"/>
  <c r="R64" i="10"/>
  <c r="P64" i="10"/>
  <c r="O64" i="10"/>
  <c r="M64" i="10"/>
  <c r="L64" i="10"/>
  <c r="J64" i="10"/>
  <c r="I64" i="10"/>
  <c r="EO63" i="10"/>
  <c r="EN63" i="10"/>
  <c r="EL63" i="10"/>
  <c r="EK63" i="10"/>
  <c r="EI63" i="10"/>
  <c r="EH63" i="10"/>
  <c r="EF63" i="10"/>
  <c r="EE63" i="10"/>
  <c r="EC63" i="10"/>
  <c r="EB63" i="10"/>
  <c r="DZ63" i="10"/>
  <c r="DY63" i="10"/>
  <c r="DW63" i="10"/>
  <c r="DV63" i="10"/>
  <c r="DT63" i="10"/>
  <c r="DS63" i="10"/>
  <c r="DQ63" i="10"/>
  <c r="DP63" i="10"/>
  <c r="DN63" i="10"/>
  <c r="DM63" i="10"/>
  <c r="DK63" i="10"/>
  <c r="DJ63" i="10"/>
  <c r="DH63" i="10"/>
  <c r="DG63" i="10"/>
  <c r="DE63" i="10"/>
  <c r="DD63" i="10"/>
  <c r="DB63" i="10"/>
  <c r="DA63" i="10"/>
  <c r="CY63" i="10"/>
  <c r="CX63" i="10"/>
  <c r="CV63" i="10"/>
  <c r="CU63" i="10"/>
  <c r="CS63" i="10"/>
  <c r="CR63" i="10"/>
  <c r="CP63" i="10"/>
  <c r="CO63" i="10"/>
  <c r="CM63" i="10"/>
  <c r="CL63" i="10"/>
  <c r="CJ63" i="10"/>
  <c r="CI63" i="10"/>
  <c r="CG63" i="10"/>
  <c r="CF63" i="10"/>
  <c r="CD63" i="10"/>
  <c r="CC63" i="10"/>
  <c r="CA63" i="10"/>
  <c r="BZ63" i="10"/>
  <c r="BX63" i="10"/>
  <c r="BW63" i="10"/>
  <c r="BU63" i="10"/>
  <c r="BT63" i="10"/>
  <c r="BR63" i="10"/>
  <c r="BQ63" i="10"/>
  <c r="BO63" i="10"/>
  <c r="BN63" i="10"/>
  <c r="BL63" i="10"/>
  <c r="BK63" i="10"/>
  <c r="BI63" i="10"/>
  <c r="BH63" i="10"/>
  <c r="BF63" i="10"/>
  <c r="BE63" i="10"/>
  <c r="BC63" i="10"/>
  <c r="BB63" i="10"/>
  <c r="AZ63" i="10"/>
  <c r="AY63" i="10"/>
  <c r="AW63" i="10"/>
  <c r="AV63" i="10"/>
  <c r="AT63" i="10"/>
  <c r="AS63" i="10"/>
  <c r="AQ63" i="10"/>
  <c r="AP63" i="10"/>
  <c r="AN63" i="10"/>
  <c r="AM63" i="10"/>
  <c r="AK63" i="10"/>
  <c r="AJ63" i="10"/>
  <c r="AH63" i="10"/>
  <c r="AG63" i="10"/>
  <c r="AE63" i="10"/>
  <c r="AD63" i="10"/>
  <c r="AB63" i="10"/>
  <c r="AA63" i="10"/>
  <c r="Y63" i="10"/>
  <c r="X63" i="10"/>
  <c r="V63" i="10"/>
  <c r="U63" i="10"/>
  <c r="S63" i="10"/>
  <c r="R63" i="10"/>
  <c r="P63" i="10"/>
  <c r="O63" i="10"/>
  <c r="M63" i="10"/>
  <c r="L63" i="10"/>
  <c r="J63" i="10"/>
  <c r="I63" i="10"/>
  <c r="EO62" i="10"/>
  <c r="EN62" i="10"/>
  <c r="EL62" i="10"/>
  <c r="EK62" i="10"/>
  <c r="EI62" i="10"/>
  <c r="EH62" i="10"/>
  <c r="EF62" i="10"/>
  <c r="EE62" i="10"/>
  <c r="EC62" i="10"/>
  <c r="EB62" i="10"/>
  <c r="DZ62" i="10"/>
  <c r="DY62" i="10"/>
  <c r="DW62" i="10"/>
  <c r="DV62" i="10"/>
  <c r="DT62" i="10"/>
  <c r="DS62" i="10"/>
  <c r="DQ62" i="10"/>
  <c r="DP62" i="10"/>
  <c r="DN62" i="10"/>
  <c r="DM62" i="10"/>
  <c r="DK62" i="10"/>
  <c r="DJ62" i="10"/>
  <c r="DH62" i="10"/>
  <c r="DG62" i="10"/>
  <c r="DE62" i="10"/>
  <c r="DD62" i="10"/>
  <c r="DB62" i="10"/>
  <c r="DA62" i="10"/>
  <c r="CY62" i="10"/>
  <c r="CX62" i="10"/>
  <c r="CV62" i="10"/>
  <c r="CU62" i="10"/>
  <c r="CS62" i="10"/>
  <c r="CR62" i="10"/>
  <c r="CP62" i="10"/>
  <c r="CO62" i="10"/>
  <c r="CM62" i="10"/>
  <c r="CL62" i="10"/>
  <c r="CJ62" i="10"/>
  <c r="CI62" i="10"/>
  <c r="CG62" i="10"/>
  <c r="CF62" i="10"/>
  <c r="CD62" i="10"/>
  <c r="CC62" i="10"/>
  <c r="CA62" i="10"/>
  <c r="BZ62" i="10"/>
  <c r="BX62" i="10"/>
  <c r="BW62" i="10"/>
  <c r="BU62" i="10"/>
  <c r="BT62" i="10"/>
  <c r="BR62" i="10"/>
  <c r="BQ62" i="10"/>
  <c r="BO62" i="10"/>
  <c r="BN62" i="10"/>
  <c r="BL62" i="10"/>
  <c r="BK62" i="10"/>
  <c r="BI62" i="10"/>
  <c r="BH62" i="10"/>
  <c r="BF62" i="10"/>
  <c r="BE62" i="10"/>
  <c r="BC62" i="10"/>
  <c r="BB62" i="10"/>
  <c r="AZ62" i="10"/>
  <c r="AY62" i="10"/>
  <c r="AW62" i="10"/>
  <c r="AV62" i="10"/>
  <c r="AT62" i="10"/>
  <c r="AS62" i="10"/>
  <c r="AQ62" i="10"/>
  <c r="AP62" i="10"/>
  <c r="AN62" i="10"/>
  <c r="AM62" i="10"/>
  <c r="AK62" i="10"/>
  <c r="AJ62" i="10"/>
  <c r="AH62" i="10"/>
  <c r="AG62" i="10"/>
  <c r="AE62" i="10"/>
  <c r="AD62" i="10"/>
  <c r="AB62" i="10"/>
  <c r="AA62" i="10"/>
  <c r="Y62" i="10"/>
  <c r="X62" i="10"/>
  <c r="V62" i="10"/>
  <c r="U62" i="10"/>
  <c r="S62" i="10"/>
  <c r="R62" i="10"/>
  <c r="P62" i="10"/>
  <c r="O62" i="10"/>
  <c r="M62" i="10"/>
  <c r="L62" i="10"/>
  <c r="J62" i="10"/>
  <c r="I62" i="10"/>
  <c r="EO61" i="10"/>
  <c r="EN61" i="10"/>
  <c r="EL61" i="10"/>
  <c r="EK61" i="10"/>
  <c r="EI61" i="10"/>
  <c r="EH61" i="10"/>
  <c r="EF61" i="10"/>
  <c r="EE61" i="10"/>
  <c r="EC61" i="10"/>
  <c r="EB61" i="10"/>
  <c r="DZ61" i="10"/>
  <c r="DY61" i="10"/>
  <c r="DW61" i="10"/>
  <c r="DV61" i="10"/>
  <c r="DT61" i="10"/>
  <c r="DS61" i="10"/>
  <c r="DQ61" i="10"/>
  <c r="DP61" i="10"/>
  <c r="DN61" i="10"/>
  <c r="DM61" i="10"/>
  <c r="DK61" i="10"/>
  <c r="DJ61" i="10"/>
  <c r="DH61" i="10"/>
  <c r="DG61" i="10"/>
  <c r="DE61" i="10"/>
  <c r="DD61" i="10"/>
  <c r="DB61" i="10"/>
  <c r="DA61" i="10"/>
  <c r="CY61" i="10"/>
  <c r="CX61" i="10"/>
  <c r="CV61" i="10"/>
  <c r="CU61" i="10"/>
  <c r="CS61" i="10"/>
  <c r="CR61" i="10"/>
  <c r="CP61" i="10"/>
  <c r="CO61" i="10"/>
  <c r="CM61" i="10"/>
  <c r="CL61" i="10"/>
  <c r="CJ61" i="10"/>
  <c r="CI61" i="10"/>
  <c r="CG61" i="10"/>
  <c r="CF61" i="10"/>
  <c r="CD61" i="10"/>
  <c r="CC61" i="10"/>
  <c r="CA61" i="10"/>
  <c r="BZ61" i="10"/>
  <c r="BX61" i="10"/>
  <c r="BW61" i="10"/>
  <c r="BU61" i="10"/>
  <c r="BT61" i="10"/>
  <c r="BR61" i="10"/>
  <c r="BQ61" i="10"/>
  <c r="BO61" i="10"/>
  <c r="BN61" i="10"/>
  <c r="BL61" i="10"/>
  <c r="BK61" i="10"/>
  <c r="BI61" i="10"/>
  <c r="BH61" i="10"/>
  <c r="BF61" i="10"/>
  <c r="BE61" i="10"/>
  <c r="BC61" i="10"/>
  <c r="BB61" i="10"/>
  <c r="AZ61" i="10"/>
  <c r="AY61" i="10"/>
  <c r="AW61" i="10"/>
  <c r="AV61" i="10"/>
  <c r="AT61" i="10"/>
  <c r="AS61" i="10"/>
  <c r="AQ61" i="10"/>
  <c r="AP61" i="10"/>
  <c r="AN61" i="10"/>
  <c r="AM61" i="10"/>
  <c r="AK61" i="10"/>
  <c r="AJ61" i="10"/>
  <c r="AH61" i="10"/>
  <c r="AG61" i="10"/>
  <c r="AE61" i="10"/>
  <c r="AD61" i="10"/>
  <c r="AB61" i="10"/>
  <c r="AA61" i="10"/>
  <c r="Y61" i="10"/>
  <c r="X61" i="10"/>
  <c r="V61" i="10"/>
  <c r="U61" i="10"/>
  <c r="S61" i="10"/>
  <c r="R61" i="10"/>
  <c r="P61" i="10"/>
  <c r="O61" i="10"/>
  <c r="M61" i="10"/>
  <c r="L61" i="10"/>
  <c r="J61" i="10"/>
  <c r="I61" i="10"/>
  <c r="EO60" i="10"/>
  <c r="EN60" i="10"/>
  <c r="EL60" i="10"/>
  <c r="EK60" i="10"/>
  <c r="EI60" i="10"/>
  <c r="EH60" i="10"/>
  <c r="EF60" i="10"/>
  <c r="EE60" i="10"/>
  <c r="EC60" i="10"/>
  <c r="EB60" i="10"/>
  <c r="DZ60" i="10"/>
  <c r="DY60" i="10"/>
  <c r="DW60" i="10"/>
  <c r="DV60" i="10"/>
  <c r="DT60" i="10"/>
  <c r="DS60" i="10"/>
  <c r="DQ60" i="10"/>
  <c r="DP60" i="10"/>
  <c r="DN60" i="10"/>
  <c r="DM60" i="10"/>
  <c r="DK60" i="10"/>
  <c r="DJ60" i="10"/>
  <c r="DH60" i="10"/>
  <c r="DG60" i="10"/>
  <c r="DE60" i="10"/>
  <c r="DD60" i="10"/>
  <c r="DB60" i="10"/>
  <c r="DA60" i="10"/>
  <c r="CY60" i="10"/>
  <c r="CX60" i="10"/>
  <c r="CV60" i="10"/>
  <c r="CU60" i="10"/>
  <c r="CS60" i="10"/>
  <c r="CR60" i="10"/>
  <c r="CP60" i="10"/>
  <c r="CO60" i="10"/>
  <c r="CM60" i="10"/>
  <c r="CL60" i="10"/>
  <c r="CJ60" i="10"/>
  <c r="CI60" i="10"/>
  <c r="CG60" i="10"/>
  <c r="CF60" i="10"/>
  <c r="CD60" i="10"/>
  <c r="CC60" i="10"/>
  <c r="CA60" i="10"/>
  <c r="BZ60" i="10"/>
  <c r="BX60" i="10"/>
  <c r="BW60" i="10"/>
  <c r="BU60" i="10"/>
  <c r="BT60" i="10"/>
  <c r="BR60" i="10"/>
  <c r="BQ60" i="10"/>
  <c r="BO60" i="10"/>
  <c r="BN60" i="10"/>
  <c r="BL60" i="10"/>
  <c r="BK60" i="10"/>
  <c r="BI60" i="10"/>
  <c r="BH60" i="10"/>
  <c r="BF60" i="10"/>
  <c r="BE60" i="10"/>
  <c r="BC60" i="10"/>
  <c r="BB60" i="10"/>
  <c r="AZ60" i="10"/>
  <c r="AY60" i="10"/>
  <c r="AW60" i="10"/>
  <c r="AV60" i="10"/>
  <c r="AT60" i="10"/>
  <c r="AS60" i="10"/>
  <c r="AQ60" i="10"/>
  <c r="AP60" i="10"/>
  <c r="AN60" i="10"/>
  <c r="AM60" i="10"/>
  <c r="AK60" i="10"/>
  <c r="AJ60" i="10"/>
  <c r="AH60" i="10"/>
  <c r="AG60" i="10"/>
  <c r="AE60" i="10"/>
  <c r="AD60" i="10"/>
  <c r="AB60" i="10"/>
  <c r="AA60" i="10"/>
  <c r="Y60" i="10"/>
  <c r="X60" i="10"/>
  <c r="V60" i="10"/>
  <c r="U60" i="10"/>
  <c r="S60" i="10"/>
  <c r="R60" i="10"/>
  <c r="P60" i="10"/>
  <c r="O60" i="10"/>
  <c r="M60" i="10"/>
  <c r="L60" i="10"/>
  <c r="J60" i="10"/>
  <c r="I60" i="10"/>
  <c r="EO59" i="10"/>
  <c r="EN59" i="10"/>
  <c r="EL59" i="10"/>
  <c r="EK59" i="10"/>
  <c r="EI59" i="10"/>
  <c r="EH59" i="10"/>
  <c r="EF59" i="10"/>
  <c r="EE59" i="10"/>
  <c r="EC59" i="10"/>
  <c r="EB59" i="10"/>
  <c r="DZ59" i="10"/>
  <c r="DY59" i="10"/>
  <c r="DW59" i="10"/>
  <c r="DV59" i="10"/>
  <c r="DT59" i="10"/>
  <c r="DS59" i="10"/>
  <c r="DQ59" i="10"/>
  <c r="DP59" i="10"/>
  <c r="DN59" i="10"/>
  <c r="DM59" i="10"/>
  <c r="DK59" i="10"/>
  <c r="DJ59" i="10"/>
  <c r="DH59" i="10"/>
  <c r="DG59" i="10"/>
  <c r="DE59" i="10"/>
  <c r="DD59" i="10"/>
  <c r="DB59" i="10"/>
  <c r="DA59" i="10"/>
  <c r="CY59" i="10"/>
  <c r="CX59" i="10"/>
  <c r="CV59" i="10"/>
  <c r="CU59" i="10"/>
  <c r="CS59" i="10"/>
  <c r="CR59" i="10"/>
  <c r="CP59" i="10"/>
  <c r="CO59" i="10"/>
  <c r="CM59" i="10"/>
  <c r="CL59" i="10"/>
  <c r="CJ59" i="10"/>
  <c r="CI59" i="10"/>
  <c r="CG59" i="10"/>
  <c r="CF59" i="10"/>
  <c r="CD59" i="10"/>
  <c r="CC59" i="10"/>
  <c r="CA59" i="10"/>
  <c r="BZ59" i="10"/>
  <c r="BX59" i="10"/>
  <c r="BW59" i="10"/>
  <c r="BU59" i="10"/>
  <c r="BT59" i="10"/>
  <c r="BR59" i="10"/>
  <c r="BQ59" i="10"/>
  <c r="BO59" i="10"/>
  <c r="BN59" i="10"/>
  <c r="BL59" i="10"/>
  <c r="BK59" i="10"/>
  <c r="BI59" i="10"/>
  <c r="BH59" i="10"/>
  <c r="BF59" i="10"/>
  <c r="BE59" i="10"/>
  <c r="BC59" i="10"/>
  <c r="BB59" i="10"/>
  <c r="AZ59" i="10"/>
  <c r="AY59" i="10"/>
  <c r="AW59" i="10"/>
  <c r="AV59" i="10"/>
  <c r="AT59" i="10"/>
  <c r="AS59" i="10"/>
  <c r="AQ59" i="10"/>
  <c r="AP59" i="10"/>
  <c r="AN59" i="10"/>
  <c r="AM59" i="10"/>
  <c r="AK59" i="10"/>
  <c r="AJ59" i="10"/>
  <c r="AH59" i="10"/>
  <c r="AG59" i="10"/>
  <c r="AE59" i="10"/>
  <c r="AD59" i="10"/>
  <c r="AB59" i="10"/>
  <c r="AA59" i="10"/>
  <c r="Y59" i="10"/>
  <c r="X59" i="10"/>
  <c r="V59" i="10"/>
  <c r="U59" i="10"/>
  <c r="S59" i="10"/>
  <c r="R59" i="10"/>
  <c r="P59" i="10"/>
  <c r="O59" i="10"/>
  <c r="M59" i="10"/>
  <c r="L59" i="10"/>
  <c r="J59" i="10"/>
  <c r="I59" i="10"/>
  <c r="EO58" i="10"/>
  <c r="EN58" i="10"/>
  <c r="EL58" i="10"/>
  <c r="EK58" i="10"/>
  <c r="EI58" i="10"/>
  <c r="EH58" i="10"/>
  <c r="EF58" i="10"/>
  <c r="EE58" i="10"/>
  <c r="EC58" i="10"/>
  <c r="EB58" i="10"/>
  <c r="DZ58" i="10"/>
  <c r="DY58" i="10"/>
  <c r="DW58" i="10"/>
  <c r="DV58" i="10"/>
  <c r="DT58" i="10"/>
  <c r="DS58" i="10"/>
  <c r="DQ58" i="10"/>
  <c r="DP58" i="10"/>
  <c r="DN58" i="10"/>
  <c r="DM58" i="10"/>
  <c r="DK58" i="10"/>
  <c r="DJ58" i="10"/>
  <c r="DH58" i="10"/>
  <c r="DG58" i="10"/>
  <c r="DE58" i="10"/>
  <c r="DD58" i="10"/>
  <c r="DB58" i="10"/>
  <c r="DA58" i="10"/>
  <c r="CY58" i="10"/>
  <c r="CX58" i="10"/>
  <c r="CV58" i="10"/>
  <c r="CU58" i="10"/>
  <c r="CS58" i="10"/>
  <c r="CR58" i="10"/>
  <c r="CP58" i="10"/>
  <c r="CO58" i="10"/>
  <c r="CM58" i="10"/>
  <c r="CL58" i="10"/>
  <c r="CJ58" i="10"/>
  <c r="CI58" i="10"/>
  <c r="CG58" i="10"/>
  <c r="CF58" i="10"/>
  <c r="CD58" i="10"/>
  <c r="CC58" i="10"/>
  <c r="CA58" i="10"/>
  <c r="BZ58" i="10"/>
  <c r="BX58" i="10"/>
  <c r="BW58" i="10"/>
  <c r="BU58" i="10"/>
  <c r="BT58" i="10"/>
  <c r="BR58" i="10"/>
  <c r="BQ58" i="10"/>
  <c r="BO58" i="10"/>
  <c r="BN58" i="10"/>
  <c r="BL58" i="10"/>
  <c r="BK58" i="10"/>
  <c r="BI58" i="10"/>
  <c r="BH58" i="10"/>
  <c r="BF58" i="10"/>
  <c r="BE58" i="10"/>
  <c r="BC58" i="10"/>
  <c r="BB58" i="10"/>
  <c r="AZ58" i="10"/>
  <c r="AY58" i="10"/>
  <c r="AW58" i="10"/>
  <c r="AV58" i="10"/>
  <c r="AT58" i="10"/>
  <c r="AS58" i="10"/>
  <c r="AQ58" i="10"/>
  <c r="AP58" i="10"/>
  <c r="AN58" i="10"/>
  <c r="AM58" i="10"/>
  <c r="AK58" i="10"/>
  <c r="AJ58" i="10"/>
  <c r="AH58" i="10"/>
  <c r="AG58" i="10"/>
  <c r="AE58" i="10"/>
  <c r="AD58" i="10"/>
  <c r="AB58" i="10"/>
  <c r="AA58" i="10"/>
  <c r="Y58" i="10"/>
  <c r="X58" i="10"/>
  <c r="V58" i="10"/>
  <c r="U58" i="10"/>
  <c r="S58" i="10"/>
  <c r="R58" i="10"/>
  <c r="P58" i="10"/>
  <c r="O58" i="10"/>
  <c r="M58" i="10"/>
  <c r="L58" i="10"/>
  <c r="J58" i="10"/>
  <c r="I58" i="10"/>
  <c r="EO57" i="10"/>
  <c r="EN57" i="10"/>
  <c r="EL57" i="10"/>
  <c r="EK57" i="10"/>
  <c r="EI57" i="10"/>
  <c r="EH57" i="10"/>
  <c r="EF57" i="10"/>
  <c r="EE57" i="10"/>
  <c r="EC57" i="10"/>
  <c r="EB57" i="10"/>
  <c r="DZ57" i="10"/>
  <c r="DY57" i="10"/>
  <c r="DW57" i="10"/>
  <c r="DV57" i="10"/>
  <c r="DT57" i="10"/>
  <c r="DS57" i="10"/>
  <c r="DQ57" i="10"/>
  <c r="DP57" i="10"/>
  <c r="DN57" i="10"/>
  <c r="DM57" i="10"/>
  <c r="DK57" i="10"/>
  <c r="DJ57" i="10"/>
  <c r="DH57" i="10"/>
  <c r="DG57" i="10"/>
  <c r="DE57" i="10"/>
  <c r="DD57" i="10"/>
  <c r="DB57" i="10"/>
  <c r="DA57" i="10"/>
  <c r="CY57" i="10"/>
  <c r="CX57" i="10"/>
  <c r="CV57" i="10"/>
  <c r="CU57" i="10"/>
  <c r="CS57" i="10"/>
  <c r="CR57" i="10"/>
  <c r="CP57" i="10"/>
  <c r="CO57" i="10"/>
  <c r="CM57" i="10"/>
  <c r="CL57" i="10"/>
  <c r="CJ57" i="10"/>
  <c r="CI57" i="10"/>
  <c r="CG57" i="10"/>
  <c r="CF57" i="10"/>
  <c r="CD57" i="10"/>
  <c r="CC57" i="10"/>
  <c r="CA57" i="10"/>
  <c r="BZ57" i="10"/>
  <c r="BX57" i="10"/>
  <c r="BW57" i="10"/>
  <c r="BU57" i="10"/>
  <c r="BT57" i="10"/>
  <c r="BR57" i="10"/>
  <c r="BQ57" i="10"/>
  <c r="BO57" i="10"/>
  <c r="BN57" i="10"/>
  <c r="BL57" i="10"/>
  <c r="BK57" i="10"/>
  <c r="BI57" i="10"/>
  <c r="BH57" i="10"/>
  <c r="BF57" i="10"/>
  <c r="BE57" i="10"/>
  <c r="BC57" i="10"/>
  <c r="BB57" i="10"/>
  <c r="AZ57" i="10"/>
  <c r="AY57" i="10"/>
  <c r="AW57" i="10"/>
  <c r="AV57" i="10"/>
  <c r="AT57" i="10"/>
  <c r="AS57" i="10"/>
  <c r="AQ57" i="10"/>
  <c r="AP57" i="10"/>
  <c r="AN57" i="10"/>
  <c r="AM57" i="10"/>
  <c r="AK57" i="10"/>
  <c r="AJ57" i="10"/>
  <c r="AH57" i="10"/>
  <c r="AG57" i="10"/>
  <c r="AE57" i="10"/>
  <c r="AD57" i="10"/>
  <c r="AB57" i="10"/>
  <c r="AA57" i="10"/>
  <c r="Y57" i="10"/>
  <c r="X57" i="10"/>
  <c r="V57" i="10"/>
  <c r="U57" i="10"/>
  <c r="S57" i="10"/>
  <c r="R57" i="10"/>
  <c r="P57" i="10"/>
  <c r="O57" i="10"/>
  <c r="M57" i="10"/>
  <c r="L57" i="10"/>
  <c r="J57" i="10"/>
  <c r="I57" i="10"/>
  <c r="EO56" i="10"/>
  <c r="EN56" i="10"/>
  <c r="EL56" i="10"/>
  <c r="EK56" i="10"/>
  <c r="EI56" i="10"/>
  <c r="EH56" i="10"/>
  <c r="EF56" i="10"/>
  <c r="EE56" i="10"/>
  <c r="EC56" i="10"/>
  <c r="EB56" i="10"/>
  <c r="DZ56" i="10"/>
  <c r="DY56" i="10"/>
  <c r="DW56" i="10"/>
  <c r="DV56" i="10"/>
  <c r="DT56" i="10"/>
  <c r="DS56" i="10"/>
  <c r="DQ56" i="10"/>
  <c r="DP56" i="10"/>
  <c r="DN56" i="10"/>
  <c r="DM56" i="10"/>
  <c r="DK56" i="10"/>
  <c r="DJ56" i="10"/>
  <c r="DH56" i="10"/>
  <c r="DG56" i="10"/>
  <c r="DE56" i="10"/>
  <c r="DD56" i="10"/>
  <c r="DB56" i="10"/>
  <c r="DA56" i="10"/>
  <c r="CY56" i="10"/>
  <c r="CX56" i="10"/>
  <c r="CV56" i="10"/>
  <c r="CU56" i="10"/>
  <c r="CS56" i="10"/>
  <c r="CR56" i="10"/>
  <c r="CP56" i="10"/>
  <c r="CO56" i="10"/>
  <c r="CM56" i="10"/>
  <c r="CL56" i="10"/>
  <c r="CJ56" i="10"/>
  <c r="CI56" i="10"/>
  <c r="CG56" i="10"/>
  <c r="CF56" i="10"/>
  <c r="CD56" i="10"/>
  <c r="CC56" i="10"/>
  <c r="CA56" i="10"/>
  <c r="BZ56" i="10"/>
  <c r="BX56" i="10"/>
  <c r="BW56" i="10"/>
  <c r="BU56" i="10"/>
  <c r="BT56" i="10"/>
  <c r="BR56" i="10"/>
  <c r="BQ56" i="10"/>
  <c r="BO56" i="10"/>
  <c r="BN56" i="10"/>
  <c r="BL56" i="10"/>
  <c r="BK56" i="10"/>
  <c r="BI56" i="10"/>
  <c r="BH56" i="10"/>
  <c r="BF56" i="10"/>
  <c r="BE56" i="10"/>
  <c r="BC56" i="10"/>
  <c r="BB56" i="10"/>
  <c r="AZ56" i="10"/>
  <c r="AY56" i="10"/>
  <c r="AW56" i="10"/>
  <c r="AV56" i="10"/>
  <c r="AT56" i="10"/>
  <c r="AS56" i="10"/>
  <c r="AQ56" i="10"/>
  <c r="AP56" i="10"/>
  <c r="AN56" i="10"/>
  <c r="AM56" i="10"/>
  <c r="AK56" i="10"/>
  <c r="AJ56" i="10"/>
  <c r="AH56" i="10"/>
  <c r="AG56" i="10"/>
  <c r="AE56" i="10"/>
  <c r="AD56" i="10"/>
  <c r="AB56" i="10"/>
  <c r="AA56" i="10"/>
  <c r="Y56" i="10"/>
  <c r="X56" i="10"/>
  <c r="V56" i="10"/>
  <c r="U56" i="10"/>
  <c r="S56" i="10"/>
  <c r="R56" i="10"/>
  <c r="P56" i="10"/>
  <c r="O56" i="10"/>
  <c r="M56" i="10"/>
  <c r="L56" i="10"/>
  <c r="J56" i="10"/>
  <c r="I56" i="10"/>
  <c r="EO55" i="10"/>
  <c r="EN55" i="10"/>
  <c r="EL55" i="10"/>
  <c r="EK55" i="10"/>
  <c r="EI55" i="10"/>
  <c r="EH55" i="10"/>
  <c r="EF55" i="10"/>
  <c r="EE55" i="10"/>
  <c r="EC55" i="10"/>
  <c r="EB55" i="10"/>
  <c r="DZ55" i="10"/>
  <c r="DY55" i="10"/>
  <c r="DW55" i="10"/>
  <c r="DV55" i="10"/>
  <c r="DT55" i="10"/>
  <c r="DS55" i="10"/>
  <c r="DQ55" i="10"/>
  <c r="DP55" i="10"/>
  <c r="DN55" i="10"/>
  <c r="DM55" i="10"/>
  <c r="DK55" i="10"/>
  <c r="DJ55" i="10"/>
  <c r="DH55" i="10"/>
  <c r="DG55" i="10"/>
  <c r="DE55" i="10"/>
  <c r="DD55" i="10"/>
  <c r="DB55" i="10"/>
  <c r="DA55" i="10"/>
  <c r="CY55" i="10"/>
  <c r="CX55" i="10"/>
  <c r="CV55" i="10"/>
  <c r="CU55" i="10"/>
  <c r="CS55" i="10"/>
  <c r="CR55" i="10"/>
  <c r="CP55" i="10"/>
  <c r="CO55" i="10"/>
  <c r="CM55" i="10"/>
  <c r="CL55" i="10"/>
  <c r="CJ55" i="10"/>
  <c r="CI55" i="10"/>
  <c r="CG55" i="10"/>
  <c r="CF55" i="10"/>
  <c r="CD55" i="10"/>
  <c r="CC55" i="10"/>
  <c r="CA55" i="10"/>
  <c r="BZ55" i="10"/>
  <c r="BX55" i="10"/>
  <c r="BW55" i="10"/>
  <c r="BU55" i="10"/>
  <c r="BT55" i="10"/>
  <c r="BR55" i="10"/>
  <c r="BQ55" i="10"/>
  <c r="BO55" i="10"/>
  <c r="BN55" i="10"/>
  <c r="BL55" i="10"/>
  <c r="BK55" i="10"/>
  <c r="BI55" i="10"/>
  <c r="BH55" i="10"/>
  <c r="BF55" i="10"/>
  <c r="BE55" i="10"/>
  <c r="BC55" i="10"/>
  <c r="BB55" i="10"/>
  <c r="AZ55" i="10"/>
  <c r="AY55" i="10"/>
  <c r="AW55" i="10"/>
  <c r="AV55" i="10"/>
  <c r="AT55" i="10"/>
  <c r="AS55" i="10"/>
  <c r="AQ55" i="10"/>
  <c r="AP55" i="10"/>
  <c r="AN55" i="10"/>
  <c r="AM55" i="10"/>
  <c r="AK55" i="10"/>
  <c r="AJ55" i="10"/>
  <c r="AH55" i="10"/>
  <c r="AG55" i="10"/>
  <c r="AE55" i="10"/>
  <c r="AD55" i="10"/>
  <c r="AB55" i="10"/>
  <c r="AA55" i="10"/>
  <c r="Y55" i="10"/>
  <c r="X55" i="10"/>
  <c r="V55" i="10"/>
  <c r="U55" i="10"/>
  <c r="S55" i="10"/>
  <c r="R55" i="10"/>
  <c r="P55" i="10"/>
  <c r="O55" i="10"/>
  <c r="M55" i="10"/>
  <c r="L55" i="10"/>
  <c r="J55" i="10"/>
  <c r="I55" i="10"/>
  <c r="EO54" i="10"/>
  <c r="EN54" i="10"/>
  <c r="EL54" i="10"/>
  <c r="EK54" i="10"/>
  <c r="EI54" i="10"/>
  <c r="EH54" i="10"/>
  <c r="EF54" i="10"/>
  <c r="EE54" i="10"/>
  <c r="EC54" i="10"/>
  <c r="EB54" i="10"/>
  <c r="DZ54" i="10"/>
  <c r="DY54" i="10"/>
  <c r="DW54" i="10"/>
  <c r="DV54" i="10"/>
  <c r="DT54" i="10"/>
  <c r="DS54" i="10"/>
  <c r="DQ54" i="10"/>
  <c r="DP54" i="10"/>
  <c r="DN54" i="10"/>
  <c r="DM54" i="10"/>
  <c r="DK54" i="10"/>
  <c r="DJ54" i="10"/>
  <c r="DH54" i="10"/>
  <c r="DG54" i="10"/>
  <c r="DE54" i="10"/>
  <c r="DD54" i="10"/>
  <c r="DB54" i="10"/>
  <c r="DA54" i="10"/>
  <c r="CY54" i="10"/>
  <c r="CX54" i="10"/>
  <c r="CV54" i="10"/>
  <c r="CU54" i="10"/>
  <c r="CS54" i="10"/>
  <c r="CR54" i="10"/>
  <c r="CP54" i="10"/>
  <c r="CO54" i="10"/>
  <c r="CM54" i="10"/>
  <c r="CL54" i="10"/>
  <c r="CJ54" i="10"/>
  <c r="CI54" i="10"/>
  <c r="CG54" i="10"/>
  <c r="CF54" i="10"/>
  <c r="CD54" i="10"/>
  <c r="CC54" i="10"/>
  <c r="CA54" i="10"/>
  <c r="BZ54" i="10"/>
  <c r="BX54" i="10"/>
  <c r="BW54" i="10"/>
  <c r="BU54" i="10"/>
  <c r="BT54" i="10"/>
  <c r="BR54" i="10"/>
  <c r="BQ54" i="10"/>
  <c r="BO54" i="10"/>
  <c r="BN54" i="10"/>
  <c r="BL54" i="10"/>
  <c r="BK54" i="10"/>
  <c r="BI54" i="10"/>
  <c r="BH54" i="10"/>
  <c r="BF54" i="10"/>
  <c r="BE54" i="10"/>
  <c r="BC54" i="10"/>
  <c r="BB54" i="10"/>
  <c r="AZ54" i="10"/>
  <c r="AY54" i="10"/>
  <c r="AW54" i="10"/>
  <c r="AV54" i="10"/>
  <c r="AT54" i="10"/>
  <c r="AS54" i="10"/>
  <c r="AQ54" i="10"/>
  <c r="AP54" i="10"/>
  <c r="AN54" i="10"/>
  <c r="AM54" i="10"/>
  <c r="AK54" i="10"/>
  <c r="AJ54" i="10"/>
  <c r="AH54" i="10"/>
  <c r="AG54" i="10"/>
  <c r="AE54" i="10"/>
  <c r="AD54" i="10"/>
  <c r="AB54" i="10"/>
  <c r="AA54" i="10"/>
  <c r="Y54" i="10"/>
  <c r="X54" i="10"/>
  <c r="V54" i="10"/>
  <c r="U54" i="10"/>
  <c r="S54" i="10"/>
  <c r="R54" i="10"/>
  <c r="P54" i="10"/>
  <c r="O54" i="10"/>
  <c r="M54" i="10"/>
  <c r="L54" i="10"/>
  <c r="J54" i="10"/>
  <c r="I54" i="10"/>
  <c r="EO53" i="10"/>
  <c r="EN53" i="10"/>
  <c r="EL53" i="10"/>
  <c r="EK53" i="10"/>
  <c r="EI53" i="10"/>
  <c r="EH53" i="10"/>
  <c r="EF53" i="10"/>
  <c r="EE53" i="10"/>
  <c r="EC53" i="10"/>
  <c r="EB53" i="10"/>
  <c r="DZ53" i="10"/>
  <c r="DY53" i="10"/>
  <c r="DW53" i="10"/>
  <c r="DV53" i="10"/>
  <c r="DT53" i="10"/>
  <c r="DS53" i="10"/>
  <c r="DQ53" i="10"/>
  <c r="DP53" i="10"/>
  <c r="DN53" i="10"/>
  <c r="DM53" i="10"/>
  <c r="DK53" i="10"/>
  <c r="DJ53" i="10"/>
  <c r="DH53" i="10"/>
  <c r="DG53" i="10"/>
  <c r="DE53" i="10"/>
  <c r="DD53" i="10"/>
  <c r="DB53" i="10"/>
  <c r="DA53" i="10"/>
  <c r="CY53" i="10"/>
  <c r="CX53" i="10"/>
  <c r="CV53" i="10"/>
  <c r="CU53" i="10"/>
  <c r="CS53" i="10"/>
  <c r="CR53" i="10"/>
  <c r="CP53" i="10"/>
  <c r="CO53" i="10"/>
  <c r="CM53" i="10"/>
  <c r="CL53" i="10"/>
  <c r="CJ53" i="10"/>
  <c r="CI53" i="10"/>
  <c r="CG53" i="10"/>
  <c r="CF53" i="10"/>
  <c r="CD53" i="10"/>
  <c r="CC53" i="10"/>
  <c r="CA53" i="10"/>
  <c r="BZ53" i="10"/>
  <c r="BX53" i="10"/>
  <c r="BW53" i="10"/>
  <c r="BU53" i="10"/>
  <c r="BT53" i="10"/>
  <c r="BR53" i="10"/>
  <c r="BQ53" i="10"/>
  <c r="BO53" i="10"/>
  <c r="BN53" i="10"/>
  <c r="BL53" i="10"/>
  <c r="BK53" i="10"/>
  <c r="BI53" i="10"/>
  <c r="BH53" i="10"/>
  <c r="BF53" i="10"/>
  <c r="BE53" i="10"/>
  <c r="BC53" i="10"/>
  <c r="BB53" i="10"/>
  <c r="AZ53" i="10"/>
  <c r="AY53" i="10"/>
  <c r="AW53" i="10"/>
  <c r="AV53" i="10"/>
  <c r="AT53" i="10"/>
  <c r="AS53" i="10"/>
  <c r="AQ53" i="10"/>
  <c r="AP53" i="10"/>
  <c r="AN53" i="10"/>
  <c r="AM53" i="10"/>
  <c r="AK53" i="10"/>
  <c r="AJ53" i="10"/>
  <c r="AH53" i="10"/>
  <c r="AG53" i="10"/>
  <c r="AE53" i="10"/>
  <c r="AD53" i="10"/>
  <c r="AB53" i="10"/>
  <c r="AA53" i="10"/>
  <c r="Y53" i="10"/>
  <c r="X53" i="10"/>
  <c r="V53" i="10"/>
  <c r="U53" i="10"/>
  <c r="S53" i="10"/>
  <c r="R53" i="10"/>
  <c r="P53" i="10"/>
  <c r="O53" i="10"/>
  <c r="M53" i="10"/>
  <c r="L53" i="10"/>
  <c r="J53" i="10"/>
  <c r="I53" i="10"/>
  <c r="EO52" i="10"/>
  <c r="EN52" i="10"/>
  <c r="EL52" i="10"/>
  <c r="EK52" i="10"/>
  <c r="EI52" i="10"/>
  <c r="EH52" i="10"/>
  <c r="EF52" i="10"/>
  <c r="EE52" i="10"/>
  <c r="EC52" i="10"/>
  <c r="EB52" i="10"/>
  <c r="DZ52" i="10"/>
  <c r="DY52" i="10"/>
  <c r="DW52" i="10"/>
  <c r="DV52" i="10"/>
  <c r="DT52" i="10"/>
  <c r="DS52" i="10"/>
  <c r="DQ52" i="10"/>
  <c r="DP52" i="10"/>
  <c r="DN52" i="10"/>
  <c r="DM52" i="10"/>
  <c r="DK52" i="10"/>
  <c r="DJ52" i="10"/>
  <c r="DH52" i="10"/>
  <c r="DG52" i="10"/>
  <c r="DE52" i="10"/>
  <c r="DD52" i="10"/>
  <c r="DB52" i="10"/>
  <c r="DA52" i="10"/>
  <c r="CY52" i="10"/>
  <c r="CX52" i="10"/>
  <c r="CV52" i="10"/>
  <c r="CU52" i="10"/>
  <c r="CS52" i="10"/>
  <c r="CR52" i="10"/>
  <c r="CP52" i="10"/>
  <c r="CO52" i="10"/>
  <c r="CM52" i="10"/>
  <c r="CL52" i="10"/>
  <c r="CJ52" i="10"/>
  <c r="CI52" i="10"/>
  <c r="CG52" i="10"/>
  <c r="CF52" i="10"/>
  <c r="CD52" i="10"/>
  <c r="CC52" i="10"/>
  <c r="CA52" i="10"/>
  <c r="BZ52" i="10"/>
  <c r="BX52" i="10"/>
  <c r="BW52" i="10"/>
  <c r="BU52" i="10"/>
  <c r="BT52" i="10"/>
  <c r="BR52" i="10"/>
  <c r="BQ52" i="10"/>
  <c r="BO52" i="10"/>
  <c r="BN52" i="10"/>
  <c r="BL52" i="10"/>
  <c r="BK52" i="10"/>
  <c r="BI52" i="10"/>
  <c r="BH52" i="10"/>
  <c r="BF52" i="10"/>
  <c r="BE52" i="10"/>
  <c r="BC52" i="10"/>
  <c r="BB52" i="10"/>
  <c r="AZ52" i="10"/>
  <c r="AY52" i="10"/>
  <c r="AW52" i="10"/>
  <c r="AV52" i="10"/>
  <c r="AT52" i="10"/>
  <c r="AS52" i="10"/>
  <c r="AQ52" i="10"/>
  <c r="AP52" i="10"/>
  <c r="AN52" i="10"/>
  <c r="AM52" i="10"/>
  <c r="AK52" i="10"/>
  <c r="AJ52" i="10"/>
  <c r="AH52" i="10"/>
  <c r="AG52" i="10"/>
  <c r="AE52" i="10"/>
  <c r="AD52" i="10"/>
  <c r="AB52" i="10"/>
  <c r="AA52" i="10"/>
  <c r="Y52" i="10"/>
  <c r="X52" i="10"/>
  <c r="V52" i="10"/>
  <c r="U52" i="10"/>
  <c r="S52" i="10"/>
  <c r="R52" i="10"/>
  <c r="P52" i="10"/>
  <c r="O52" i="10"/>
  <c r="M52" i="10"/>
  <c r="L52" i="10"/>
  <c r="J52" i="10"/>
  <c r="I52" i="10"/>
  <c r="EO51" i="10"/>
  <c r="EN51" i="10"/>
  <c r="EL51" i="10"/>
  <c r="EK51" i="10"/>
  <c r="EI51" i="10"/>
  <c r="EH51" i="10"/>
  <c r="EF51" i="10"/>
  <c r="EE51" i="10"/>
  <c r="EC51" i="10"/>
  <c r="EB51" i="10"/>
  <c r="DZ51" i="10"/>
  <c r="DY51" i="10"/>
  <c r="DW51" i="10"/>
  <c r="DV51" i="10"/>
  <c r="DT51" i="10"/>
  <c r="DS51" i="10"/>
  <c r="DQ51" i="10"/>
  <c r="DP51" i="10"/>
  <c r="DN51" i="10"/>
  <c r="DM51" i="10"/>
  <c r="DK51" i="10"/>
  <c r="DJ51" i="10"/>
  <c r="DH51" i="10"/>
  <c r="DG51" i="10"/>
  <c r="DE51" i="10"/>
  <c r="DD51" i="10"/>
  <c r="DB51" i="10"/>
  <c r="DA51" i="10"/>
  <c r="CY51" i="10"/>
  <c r="CX51" i="10"/>
  <c r="CV51" i="10"/>
  <c r="CU51" i="10"/>
  <c r="CS51" i="10"/>
  <c r="CR51" i="10"/>
  <c r="CP51" i="10"/>
  <c r="CO51" i="10"/>
  <c r="CM51" i="10"/>
  <c r="CL51" i="10"/>
  <c r="CJ51" i="10"/>
  <c r="CI51" i="10"/>
  <c r="CG51" i="10"/>
  <c r="CF51" i="10"/>
  <c r="CD51" i="10"/>
  <c r="CC51" i="10"/>
  <c r="CA51" i="10"/>
  <c r="BZ51" i="10"/>
  <c r="BX51" i="10"/>
  <c r="BW51" i="10"/>
  <c r="BU51" i="10"/>
  <c r="BT51" i="10"/>
  <c r="BR51" i="10"/>
  <c r="BQ51" i="10"/>
  <c r="BO51" i="10"/>
  <c r="BN51" i="10"/>
  <c r="BL51" i="10"/>
  <c r="BK51" i="10"/>
  <c r="BI51" i="10"/>
  <c r="BH51" i="10"/>
  <c r="BF51" i="10"/>
  <c r="BE51" i="10"/>
  <c r="BC51" i="10"/>
  <c r="BB51" i="10"/>
  <c r="AZ51" i="10"/>
  <c r="AY51" i="10"/>
  <c r="AW51" i="10"/>
  <c r="AV51" i="10"/>
  <c r="AT51" i="10"/>
  <c r="AS51" i="10"/>
  <c r="AQ51" i="10"/>
  <c r="AP51" i="10"/>
  <c r="AN51" i="10"/>
  <c r="AM51" i="10"/>
  <c r="AK51" i="10"/>
  <c r="AJ51" i="10"/>
  <c r="AH51" i="10"/>
  <c r="AG51" i="10"/>
  <c r="AE51" i="10"/>
  <c r="AD51" i="10"/>
  <c r="AB51" i="10"/>
  <c r="AA51" i="10"/>
  <c r="Y51" i="10"/>
  <c r="X51" i="10"/>
  <c r="V51" i="10"/>
  <c r="U51" i="10"/>
  <c r="S51" i="10"/>
  <c r="R51" i="10"/>
  <c r="P51" i="10"/>
  <c r="O51" i="10"/>
  <c r="M51" i="10"/>
  <c r="L51" i="10"/>
  <c r="J51" i="10"/>
  <c r="I51" i="10"/>
  <c r="EO50" i="10"/>
  <c r="EN50" i="10"/>
  <c r="EL50" i="10"/>
  <c r="EK50" i="10"/>
  <c r="EI50" i="10"/>
  <c r="EH50" i="10"/>
  <c r="EF50" i="10"/>
  <c r="EE50" i="10"/>
  <c r="EC50" i="10"/>
  <c r="EB50" i="10"/>
  <c r="DZ50" i="10"/>
  <c r="DY50" i="10"/>
  <c r="DW50" i="10"/>
  <c r="DV50" i="10"/>
  <c r="DT50" i="10"/>
  <c r="DS50" i="10"/>
  <c r="DQ50" i="10"/>
  <c r="DP50" i="10"/>
  <c r="DN50" i="10"/>
  <c r="DM50" i="10"/>
  <c r="DK50" i="10"/>
  <c r="DJ50" i="10"/>
  <c r="DH50" i="10"/>
  <c r="DG50" i="10"/>
  <c r="DE50" i="10"/>
  <c r="DD50" i="10"/>
  <c r="DB50" i="10"/>
  <c r="DA50" i="10"/>
  <c r="CY50" i="10"/>
  <c r="CX50" i="10"/>
  <c r="CV50" i="10"/>
  <c r="CU50" i="10"/>
  <c r="CS50" i="10"/>
  <c r="CR50" i="10"/>
  <c r="CP50" i="10"/>
  <c r="CO50" i="10"/>
  <c r="CM50" i="10"/>
  <c r="CL50" i="10"/>
  <c r="CJ50" i="10"/>
  <c r="CI50" i="10"/>
  <c r="CG50" i="10"/>
  <c r="CF50" i="10"/>
  <c r="CD50" i="10"/>
  <c r="CC50" i="10"/>
  <c r="CA50" i="10"/>
  <c r="BZ50" i="10"/>
  <c r="BX50" i="10"/>
  <c r="BW50" i="10"/>
  <c r="BU50" i="10"/>
  <c r="BT50" i="10"/>
  <c r="BR50" i="10"/>
  <c r="BQ50" i="10"/>
  <c r="BO50" i="10"/>
  <c r="BN50" i="10"/>
  <c r="BL50" i="10"/>
  <c r="BK50" i="10"/>
  <c r="BI50" i="10"/>
  <c r="BH50" i="10"/>
  <c r="BF50" i="10"/>
  <c r="BE50" i="10"/>
  <c r="BC50" i="10"/>
  <c r="BB50" i="10"/>
  <c r="AZ50" i="10"/>
  <c r="AY50" i="10"/>
  <c r="AW50" i="10"/>
  <c r="AV50" i="10"/>
  <c r="AT50" i="10"/>
  <c r="AS50" i="10"/>
  <c r="AQ50" i="10"/>
  <c r="AP50" i="10"/>
  <c r="AN50" i="10"/>
  <c r="AM50" i="10"/>
  <c r="AK50" i="10"/>
  <c r="AJ50" i="10"/>
  <c r="AH50" i="10"/>
  <c r="AG50" i="10"/>
  <c r="AE50" i="10"/>
  <c r="AD50" i="10"/>
  <c r="AB50" i="10"/>
  <c r="AA50" i="10"/>
  <c r="Y50" i="10"/>
  <c r="X50" i="10"/>
  <c r="V50" i="10"/>
  <c r="U50" i="10"/>
  <c r="S50" i="10"/>
  <c r="R50" i="10"/>
  <c r="P50" i="10"/>
  <c r="O50" i="10"/>
  <c r="M50" i="10"/>
  <c r="L50" i="10"/>
  <c r="J50" i="10"/>
  <c r="I50" i="10"/>
  <c r="EO49" i="10"/>
  <c r="EN49" i="10"/>
  <c r="EL49" i="10"/>
  <c r="EK49" i="10"/>
  <c r="EI49" i="10"/>
  <c r="EH49" i="10"/>
  <c r="EF49" i="10"/>
  <c r="EE49" i="10"/>
  <c r="EC49" i="10"/>
  <c r="EB49" i="10"/>
  <c r="DZ49" i="10"/>
  <c r="DY49" i="10"/>
  <c r="DW49" i="10"/>
  <c r="DV49" i="10"/>
  <c r="DT49" i="10"/>
  <c r="DS49" i="10"/>
  <c r="DQ49" i="10"/>
  <c r="DP49" i="10"/>
  <c r="DN49" i="10"/>
  <c r="DM49" i="10"/>
  <c r="DK49" i="10"/>
  <c r="DJ49" i="10"/>
  <c r="DH49" i="10"/>
  <c r="DG49" i="10"/>
  <c r="DE49" i="10"/>
  <c r="DD49" i="10"/>
  <c r="DB49" i="10"/>
  <c r="DA49" i="10"/>
  <c r="CY49" i="10"/>
  <c r="CX49" i="10"/>
  <c r="CV49" i="10"/>
  <c r="CU49" i="10"/>
  <c r="CS49" i="10"/>
  <c r="CR49" i="10"/>
  <c r="CP49" i="10"/>
  <c r="CO49" i="10"/>
  <c r="CM49" i="10"/>
  <c r="CL49" i="10"/>
  <c r="CJ49" i="10"/>
  <c r="CI49" i="10"/>
  <c r="CG49" i="10"/>
  <c r="CF49" i="10"/>
  <c r="CD49" i="10"/>
  <c r="CC49" i="10"/>
  <c r="CA49" i="10"/>
  <c r="BZ49" i="10"/>
  <c r="BX49" i="10"/>
  <c r="BW49" i="10"/>
  <c r="BU49" i="10"/>
  <c r="BT49" i="10"/>
  <c r="BR49" i="10"/>
  <c r="BQ49" i="10"/>
  <c r="BO49" i="10"/>
  <c r="BN49" i="10"/>
  <c r="BL49" i="10"/>
  <c r="BK49" i="10"/>
  <c r="BI49" i="10"/>
  <c r="BH49" i="10"/>
  <c r="BF49" i="10"/>
  <c r="BE49" i="10"/>
  <c r="BC49" i="10"/>
  <c r="BB49" i="10"/>
  <c r="AZ49" i="10"/>
  <c r="AY49" i="10"/>
  <c r="AW49" i="10"/>
  <c r="AV49" i="10"/>
  <c r="AT49" i="10"/>
  <c r="AS49" i="10"/>
  <c r="AQ49" i="10"/>
  <c r="AP49" i="10"/>
  <c r="AN49" i="10"/>
  <c r="AM49" i="10"/>
  <c r="AK49" i="10"/>
  <c r="AJ49" i="10"/>
  <c r="AH49" i="10"/>
  <c r="AG49" i="10"/>
  <c r="AE49" i="10"/>
  <c r="AD49" i="10"/>
  <c r="AB49" i="10"/>
  <c r="AA49" i="10"/>
  <c r="Y49" i="10"/>
  <c r="X49" i="10"/>
  <c r="V49" i="10"/>
  <c r="U49" i="10"/>
  <c r="S49" i="10"/>
  <c r="R49" i="10"/>
  <c r="P49" i="10"/>
  <c r="O49" i="10"/>
  <c r="M49" i="10"/>
  <c r="L49" i="10"/>
  <c r="J49" i="10"/>
  <c r="I49" i="10"/>
  <c r="EO48" i="10"/>
  <c r="EN48" i="10"/>
  <c r="EL48" i="10"/>
  <c r="EK48" i="10"/>
  <c r="EI48" i="10"/>
  <c r="EH48" i="10"/>
  <c r="EF48" i="10"/>
  <c r="EE48" i="10"/>
  <c r="EC48" i="10"/>
  <c r="EB48" i="10"/>
  <c r="DZ48" i="10"/>
  <c r="DY48" i="10"/>
  <c r="DW48" i="10"/>
  <c r="DV48" i="10"/>
  <c r="DT48" i="10"/>
  <c r="DS48" i="10"/>
  <c r="DQ48" i="10"/>
  <c r="DP48" i="10"/>
  <c r="DN48" i="10"/>
  <c r="DM48" i="10"/>
  <c r="DK48" i="10"/>
  <c r="DJ48" i="10"/>
  <c r="DH48" i="10"/>
  <c r="DG48" i="10"/>
  <c r="DE48" i="10"/>
  <c r="DD48" i="10"/>
  <c r="DB48" i="10"/>
  <c r="DA48" i="10"/>
  <c r="CY48" i="10"/>
  <c r="CX48" i="10"/>
  <c r="CV48" i="10"/>
  <c r="CU48" i="10"/>
  <c r="CS48" i="10"/>
  <c r="CR48" i="10"/>
  <c r="CP48" i="10"/>
  <c r="CO48" i="10"/>
  <c r="CM48" i="10"/>
  <c r="CL48" i="10"/>
  <c r="CJ48" i="10"/>
  <c r="CI48" i="10"/>
  <c r="CG48" i="10"/>
  <c r="CF48" i="10"/>
  <c r="CD48" i="10"/>
  <c r="CC48" i="10"/>
  <c r="CA48" i="10"/>
  <c r="BZ48" i="10"/>
  <c r="BX48" i="10"/>
  <c r="BW48" i="10"/>
  <c r="BU48" i="10"/>
  <c r="BT48" i="10"/>
  <c r="BR48" i="10"/>
  <c r="BQ48" i="10"/>
  <c r="BO48" i="10"/>
  <c r="BN48" i="10"/>
  <c r="BL48" i="10"/>
  <c r="BK48" i="10"/>
  <c r="BI48" i="10"/>
  <c r="BH48" i="10"/>
  <c r="BF48" i="10"/>
  <c r="BE48" i="10"/>
  <c r="BC48" i="10"/>
  <c r="BB48" i="10"/>
  <c r="AZ48" i="10"/>
  <c r="AY48" i="10"/>
  <c r="AW48" i="10"/>
  <c r="AV48" i="10"/>
  <c r="AT48" i="10"/>
  <c r="AS48" i="10"/>
  <c r="AQ48" i="10"/>
  <c r="AP48" i="10"/>
  <c r="AN48" i="10"/>
  <c r="AM48" i="10"/>
  <c r="AK48" i="10"/>
  <c r="AJ48" i="10"/>
  <c r="AH48" i="10"/>
  <c r="AG48" i="10"/>
  <c r="AE48" i="10"/>
  <c r="AD48" i="10"/>
  <c r="AB48" i="10"/>
  <c r="AA48" i="10"/>
  <c r="Y48" i="10"/>
  <c r="X48" i="10"/>
  <c r="V48" i="10"/>
  <c r="U48" i="10"/>
  <c r="S48" i="10"/>
  <c r="R48" i="10"/>
  <c r="P48" i="10"/>
  <c r="O48" i="10"/>
  <c r="M48" i="10"/>
  <c r="L48" i="10"/>
  <c r="J48" i="10"/>
  <c r="I48" i="10"/>
  <c r="EO47" i="10"/>
  <c r="EN47" i="10"/>
  <c r="EL47" i="10"/>
  <c r="EK47" i="10"/>
  <c r="EI47" i="10"/>
  <c r="EH47" i="10"/>
  <c r="EF47" i="10"/>
  <c r="EE47" i="10"/>
  <c r="EC47" i="10"/>
  <c r="EB47" i="10"/>
  <c r="DZ47" i="10"/>
  <c r="DY47" i="10"/>
  <c r="DW47" i="10"/>
  <c r="DV47" i="10"/>
  <c r="DT47" i="10"/>
  <c r="DS47" i="10"/>
  <c r="DQ47" i="10"/>
  <c r="DP47" i="10"/>
  <c r="DN47" i="10"/>
  <c r="DM47" i="10"/>
  <c r="DK47" i="10"/>
  <c r="DJ47" i="10"/>
  <c r="DH47" i="10"/>
  <c r="DG47" i="10"/>
  <c r="DE47" i="10"/>
  <c r="DD47" i="10"/>
  <c r="DB47" i="10"/>
  <c r="DA47" i="10"/>
  <c r="CY47" i="10"/>
  <c r="CX47" i="10"/>
  <c r="CV47" i="10"/>
  <c r="CU47" i="10"/>
  <c r="CS47" i="10"/>
  <c r="CR47" i="10"/>
  <c r="CP47" i="10"/>
  <c r="CO47" i="10"/>
  <c r="CM47" i="10"/>
  <c r="CL47" i="10"/>
  <c r="CJ47" i="10"/>
  <c r="CI47" i="10"/>
  <c r="CG47" i="10"/>
  <c r="CF47" i="10"/>
  <c r="CD47" i="10"/>
  <c r="CC47" i="10"/>
  <c r="CA47" i="10"/>
  <c r="BZ47" i="10"/>
  <c r="BX47" i="10"/>
  <c r="BW47" i="10"/>
  <c r="BU47" i="10"/>
  <c r="BT47" i="10"/>
  <c r="BR47" i="10"/>
  <c r="BQ47" i="10"/>
  <c r="BO47" i="10"/>
  <c r="BN47" i="10"/>
  <c r="BL47" i="10"/>
  <c r="BK47" i="10"/>
  <c r="BI47" i="10"/>
  <c r="BH47" i="10"/>
  <c r="BF47" i="10"/>
  <c r="BE47" i="10"/>
  <c r="BC47" i="10"/>
  <c r="BB47" i="10"/>
  <c r="AZ47" i="10"/>
  <c r="AY47" i="10"/>
  <c r="AW47" i="10"/>
  <c r="AV47" i="10"/>
  <c r="AT47" i="10"/>
  <c r="AS47" i="10"/>
  <c r="AQ47" i="10"/>
  <c r="AP47" i="10"/>
  <c r="AN47" i="10"/>
  <c r="AM47" i="10"/>
  <c r="AK47" i="10"/>
  <c r="AJ47" i="10"/>
  <c r="AH47" i="10"/>
  <c r="AG47" i="10"/>
  <c r="AE47" i="10"/>
  <c r="AD47" i="10"/>
  <c r="AB47" i="10"/>
  <c r="AA47" i="10"/>
  <c r="Y47" i="10"/>
  <c r="X47" i="10"/>
  <c r="V47" i="10"/>
  <c r="U47" i="10"/>
  <c r="S47" i="10"/>
  <c r="R47" i="10"/>
  <c r="P47" i="10"/>
  <c r="O47" i="10"/>
  <c r="M47" i="10"/>
  <c r="L47" i="10"/>
  <c r="J47" i="10"/>
  <c r="I47" i="10"/>
  <c r="EO46" i="10"/>
  <c r="EN46" i="10"/>
  <c r="EL46" i="10"/>
  <c r="EK46" i="10"/>
  <c r="EI46" i="10"/>
  <c r="EH46" i="10"/>
  <c r="EF46" i="10"/>
  <c r="EE46" i="10"/>
  <c r="EC46" i="10"/>
  <c r="EB46" i="10"/>
  <c r="DZ46" i="10"/>
  <c r="DY46" i="10"/>
  <c r="DW46" i="10"/>
  <c r="DV46" i="10"/>
  <c r="DT46" i="10"/>
  <c r="DS46" i="10"/>
  <c r="DQ46" i="10"/>
  <c r="DP46" i="10"/>
  <c r="DN46" i="10"/>
  <c r="DM46" i="10"/>
  <c r="DK46" i="10"/>
  <c r="DJ46" i="10"/>
  <c r="DH46" i="10"/>
  <c r="DG46" i="10"/>
  <c r="DE46" i="10"/>
  <c r="DD46" i="10"/>
  <c r="DB46" i="10"/>
  <c r="DA46" i="10"/>
  <c r="CY46" i="10"/>
  <c r="CX46" i="10"/>
  <c r="CV46" i="10"/>
  <c r="CU46" i="10"/>
  <c r="CS46" i="10"/>
  <c r="CR46" i="10"/>
  <c r="CP46" i="10"/>
  <c r="CO46" i="10"/>
  <c r="CM46" i="10"/>
  <c r="CL46" i="10"/>
  <c r="CJ46" i="10"/>
  <c r="CI46" i="10"/>
  <c r="CG46" i="10"/>
  <c r="CF46" i="10"/>
  <c r="CD46" i="10"/>
  <c r="CC46" i="10"/>
  <c r="CA46" i="10"/>
  <c r="BZ46" i="10"/>
  <c r="BX46" i="10"/>
  <c r="BW46" i="10"/>
  <c r="BU46" i="10"/>
  <c r="BT46" i="10"/>
  <c r="BR46" i="10"/>
  <c r="BQ46" i="10"/>
  <c r="BO46" i="10"/>
  <c r="BN46" i="10"/>
  <c r="BL46" i="10"/>
  <c r="BK46" i="10"/>
  <c r="BI46" i="10"/>
  <c r="BH46" i="10"/>
  <c r="BF46" i="10"/>
  <c r="BE46" i="10"/>
  <c r="BC46" i="10"/>
  <c r="BB46" i="10"/>
  <c r="AZ46" i="10"/>
  <c r="AY46" i="10"/>
  <c r="AW46" i="10"/>
  <c r="AV46" i="10"/>
  <c r="AT46" i="10"/>
  <c r="AS46" i="10"/>
  <c r="AQ46" i="10"/>
  <c r="AP46" i="10"/>
  <c r="AN46" i="10"/>
  <c r="AM46" i="10"/>
  <c r="AK46" i="10"/>
  <c r="AJ46" i="10"/>
  <c r="AH46" i="10"/>
  <c r="AG46" i="10"/>
  <c r="AE46" i="10"/>
  <c r="AD46" i="10"/>
  <c r="AB46" i="10"/>
  <c r="AA46" i="10"/>
  <c r="Y46" i="10"/>
  <c r="X46" i="10"/>
  <c r="V46" i="10"/>
  <c r="U46" i="10"/>
  <c r="S46" i="10"/>
  <c r="R46" i="10"/>
  <c r="P46" i="10"/>
  <c r="O46" i="10"/>
  <c r="M46" i="10"/>
  <c r="L46" i="10"/>
  <c r="J46" i="10"/>
  <c r="I46" i="10"/>
  <c r="EO45" i="10"/>
  <c r="EN45" i="10"/>
  <c r="EL45" i="10"/>
  <c r="EK45" i="10"/>
  <c r="EI45" i="10"/>
  <c r="EH45" i="10"/>
  <c r="EF45" i="10"/>
  <c r="EE45" i="10"/>
  <c r="EC45" i="10"/>
  <c r="EB45" i="10"/>
  <c r="DZ45" i="10"/>
  <c r="DY45" i="10"/>
  <c r="DW45" i="10"/>
  <c r="DV45" i="10"/>
  <c r="DT45" i="10"/>
  <c r="DS45" i="10"/>
  <c r="DQ45" i="10"/>
  <c r="DP45" i="10"/>
  <c r="DN45" i="10"/>
  <c r="DM45" i="10"/>
  <c r="DK45" i="10"/>
  <c r="DJ45" i="10"/>
  <c r="DH45" i="10"/>
  <c r="DG45" i="10"/>
  <c r="DE45" i="10"/>
  <c r="DD45" i="10"/>
  <c r="DB45" i="10"/>
  <c r="DA45" i="10"/>
  <c r="CY45" i="10"/>
  <c r="CX45" i="10"/>
  <c r="CV45" i="10"/>
  <c r="CU45" i="10"/>
  <c r="CS45" i="10"/>
  <c r="CR45" i="10"/>
  <c r="CP45" i="10"/>
  <c r="CO45" i="10"/>
  <c r="CM45" i="10"/>
  <c r="CL45" i="10"/>
  <c r="CJ45" i="10"/>
  <c r="CI45" i="10"/>
  <c r="CG45" i="10"/>
  <c r="CF45" i="10"/>
  <c r="CD45" i="10"/>
  <c r="CC45" i="10"/>
  <c r="CA45" i="10"/>
  <c r="BZ45" i="10"/>
  <c r="BX45" i="10"/>
  <c r="BW45" i="10"/>
  <c r="BU45" i="10"/>
  <c r="BT45" i="10"/>
  <c r="BR45" i="10"/>
  <c r="BQ45" i="10"/>
  <c r="BO45" i="10"/>
  <c r="BN45" i="10"/>
  <c r="BL45" i="10"/>
  <c r="BK45" i="10"/>
  <c r="BI45" i="10"/>
  <c r="BH45" i="10"/>
  <c r="BF45" i="10"/>
  <c r="BE45" i="10"/>
  <c r="BC45" i="10"/>
  <c r="BB45" i="10"/>
  <c r="AZ45" i="10"/>
  <c r="AY45" i="10"/>
  <c r="AW45" i="10"/>
  <c r="AV45" i="10"/>
  <c r="AT45" i="10"/>
  <c r="AS45" i="10"/>
  <c r="AQ45" i="10"/>
  <c r="AP45" i="10"/>
  <c r="AN45" i="10"/>
  <c r="AM45" i="10"/>
  <c r="AK45" i="10"/>
  <c r="AJ45" i="10"/>
  <c r="AH45" i="10"/>
  <c r="AG45" i="10"/>
  <c r="AE45" i="10"/>
  <c r="AD45" i="10"/>
  <c r="AB45" i="10"/>
  <c r="AA45" i="10"/>
  <c r="Y45" i="10"/>
  <c r="X45" i="10"/>
  <c r="V45" i="10"/>
  <c r="U45" i="10"/>
  <c r="S45" i="10"/>
  <c r="R45" i="10"/>
  <c r="P45" i="10"/>
  <c r="O45" i="10"/>
  <c r="M45" i="10"/>
  <c r="L45" i="10"/>
  <c r="J45" i="10"/>
  <c r="I45" i="10"/>
  <c r="EO44" i="10"/>
  <c r="EN44" i="10"/>
  <c r="EL44" i="10"/>
  <c r="EK44" i="10"/>
  <c r="EI44" i="10"/>
  <c r="EH44" i="10"/>
  <c r="EF44" i="10"/>
  <c r="EE44" i="10"/>
  <c r="EC44" i="10"/>
  <c r="EB44" i="10"/>
  <c r="DZ44" i="10"/>
  <c r="DY44" i="10"/>
  <c r="DW44" i="10"/>
  <c r="DV44" i="10"/>
  <c r="DT44" i="10"/>
  <c r="DS44" i="10"/>
  <c r="DQ44" i="10"/>
  <c r="DP44" i="10"/>
  <c r="DN44" i="10"/>
  <c r="DM44" i="10"/>
  <c r="DK44" i="10"/>
  <c r="DJ44" i="10"/>
  <c r="DH44" i="10"/>
  <c r="DG44" i="10"/>
  <c r="DE44" i="10"/>
  <c r="DD44" i="10"/>
  <c r="DB44" i="10"/>
  <c r="DA44" i="10"/>
  <c r="CY44" i="10"/>
  <c r="CX44" i="10"/>
  <c r="CV44" i="10"/>
  <c r="CU44" i="10"/>
  <c r="CS44" i="10"/>
  <c r="CR44" i="10"/>
  <c r="CP44" i="10"/>
  <c r="CO44" i="10"/>
  <c r="CM44" i="10"/>
  <c r="CL44" i="10"/>
  <c r="CJ44" i="10"/>
  <c r="CI44" i="10"/>
  <c r="CG44" i="10"/>
  <c r="CF44" i="10"/>
  <c r="CD44" i="10"/>
  <c r="CC44" i="10"/>
  <c r="CA44" i="10"/>
  <c r="BZ44" i="10"/>
  <c r="BX44" i="10"/>
  <c r="BW44" i="10"/>
  <c r="BU44" i="10"/>
  <c r="BT44" i="10"/>
  <c r="BR44" i="10"/>
  <c r="BQ44" i="10"/>
  <c r="BO44" i="10"/>
  <c r="BN44" i="10"/>
  <c r="BL44" i="10"/>
  <c r="BK44" i="10"/>
  <c r="BI44" i="10"/>
  <c r="BH44" i="10"/>
  <c r="BF44" i="10"/>
  <c r="BE44" i="10"/>
  <c r="BC44" i="10"/>
  <c r="BB44" i="10"/>
  <c r="AZ44" i="10"/>
  <c r="AY44" i="10"/>
  <c r="AW44" i="10"/>
  <c r="AV44" i="10"/>
  <c r="AT44" i="10"/>
  <c r="AS44" i="10"/>
  <c r="AQ44" i="10"/>
  <c r="AP44" i="10"/>
  <c r="AN44" i="10"/>
  <c r="AM44" i="10"/>
  <c r="AK44" i="10"/>
  <c r="AJ44" i="10"/>
  <c r="AH44" i="10"/>
  <c r="AG44" i="10"/>
  <c r="AE44" i="10"/>
  <c r="AD44" i="10"/>
  <c r="AB44" i="10"/>
  <c r="AA44" i="10"/>
  <c r="Y44" i="10"/>
  <c r="X44" i="10"/>
  <c r="V44" i="10"/>
  <c r="U44" i="10"/>
  <c r="S44" i="10"/>
  <c r="R44" i="10"/>
  <c r="P44" i="10"/>
  <c r="O44" i="10"/>
  <c r="M44" i="10"/>
  <c r="L44" i="10"/>
  <c r="J44" i="10"/>
  <c r="I44" i="10"/>
  <c r="EO43" i="10"/>
  <c r="EN43" i="10"/>
  <c r="EL43" i="10"/>
  <c r="EK43" i="10"/>
  <c r="EI43" i="10"/>
  <c r="EH43" i="10"/>
  <c r="EF43" i="10"/>
  <c r="EE43" i="10"/>
  <c r="EC43" i="10"/>
  <c r="EB43" i="10"/>
  <c r="DZ43" i="10"/>
  <c r="DY43" i="10"/>
  <c r="DW43" i="10"/>
  <c r="DV43" i="10"/>
  <c r="DT43" i="10"/>
  <c r="DS43" i="10"/>
  <c r="DQ43" i="10"/>
  <c r="DP43" i="10"/>
  <c r="DN43" i="10"/>
  <c r="DM43" i="10"/>
  <c r="DK43" i="10"/>
  <c r="DJ43" i="10"/>
  <c r="DH43" i="10"/>
  <c r="DG43" i="10"/>
  <c r="DE43" i="10"/>
  <c r="DD43" i="10"/>
  <c r="DB43" i="10"/>
  <c r="DA43" i="10"/>
  <c r="CY43" i="10"/>
  <c r="CX43" i="10"/>
  <c r="CV43" i="10"/>
  <c r="CU43" i="10"/>
  <c r="CS43" i="10"/>
  <c r="CR43" i="10"/>
  <c r="CP43" i="10"/>
  <c r="CO43" i="10"/>
  <c r="CM43" i="10"/>
  <c r="CL43" i="10"/>
  <c r="CJ43" i="10"/>
  <c r="CI43" i="10"/>
  <c r="CG43" i="10"/>
  <c r="CF43" i="10"/>
  <c r="CD43" i="10"/>
  <c r="CC43" i="10"/>
  <c r="CA43" i="10"/>
  <c r="BZ43" i="10"/>
  <c r="BX43" i="10"/>
  <c r="BW43" i="10"/>
  <c r="BU43" i="10"/>
  <c r="BT43" i="10"/>
  <c r="BR43" i="10"/>
  <c r="BQ43" i="10"/>
  <c r="BO43" i="10"/>
  <c r="BN43" i="10"/>
  <c r="BL43" i="10"/>
  <c r="BK43" i="10"/>
  <c r="BI43" i="10"/>
  <c r="BH43" i="10"/>
  <c r="BF43" i="10"/>
  <c r="BE43" i="10"/>
  <c r="BC43" i="10"/>
  <c r="BB43" i="10"/>
  <c r="AZ43" i="10"/>
  <c r="AY43" i="10"/>
  <c r="AW43" i="10"/>
  <c r="AV43" i="10"/>
  <c r="AT43" i="10"/>
  <c r="AS43" i="10"/>
  <c r="AQ43" i="10"/>
  <c r="AP43" i="10"/>
  <c r="AN43" i="10"/>
  <c r="AM43" i="10"/>
  <c r="AK43" i="10"/>
  <c r="AJ43" i="10"/>
  <c r="AH43" i="10"/>
  <c r="AG43" i="10"/>
  <c r="AE43" i="10"/>
  <c r="AD43" i="10"/>
  <c r="AB43" i="10"/>
  <c r="AA43" i="10"/>
  <c r="Y43" i="10"/>
  <c r="X43" i="10"/>
  <c r="V43" i="10"/>
  <c r="U43" i="10"/>
  <c r="S43" i="10"/>
  <c r="R43" i="10"/>
  <c r="P43" i="10"/>
  <c r="O43" i="10"/>
  <c r="M43" i="10"/>
  <c r="L43" i="10"/>
  <c r="J43" i="10"/>
  <c r="I43" i="10"/>
  <c r="EO42" i="10"/>
  <c r="EN42" i="10"/>
  <c r="EL42" i="10"/>
  <c r="EK42" i="10"/>
  <c r="EI42" i="10"/>
  <c r="EH42" i="10"/>
  <c r="EF42" i="10"/>
  <c r="EE42" i="10"/>
  <c r="EC42" i="10"/>
  <c r="EB42" i="10"/>
  <c r="DZ42" i="10"/>
  <c r="DY42" i="10"/>
  <c r="DW42" i="10"/>
  <c r="DV42" i="10"/>
  <c r="DT42" i="10"/>
  <c r="DS42" i="10"/>
  <c r="DQ42" i="10"/>
  <c r="DP42" i="10"/>
  <c r="DN42" i="10"/>
  <c r="DM42" i="10"/>
  <c r="DK42" i="10"/>
  <c r="DJ42" i="10"/>
  <c r="DH42" i="10"/>
  <c r="DG42" i="10"/>
  <c r="DE42" i="10"/>
  <c r="DD42" i="10"/>
  <c r="DB42" i="10"/>
  <c r="DA42" i="10"/>
  <c r="CY42" i="10"/>
  <c r="CX42" i="10"/>
  <c r="CV42" i="10"/>
  <c r="CU42" i="10"/>
  <c r="CS42" i="10"/>
  <c r="CR42" i="10"/>
  <c r="CP42" i="10"/>
  <c r="CO42" i="10"/>
  <c r="CM42" i="10"/>
  <c r="CL42" i="10"/>
  <c r="CJ42" i="10"/>
  <c r="CI42" i="10"/>
  <c r="CG42" i="10"/>
  <c r="CF42" i="10"/>
  <c r="CD42" i="10"/>
  <c r="CC42" i="10"/>
  <c r="CA42" i="10"/>
  <c r="BZ42" i="10"/>
  <c r="BX42" i="10"/>
  <c r="BW42" i="10"/>
  <c r="BU42" i="10"/>
  <c r="BT42" i="10"/>
  <c r="BR42" i="10"/>
  <c r="BQ42" i="10"/>
  <c r="BO42" i="10"/>
  <c r="BN42" i="10"/>
  <c r="BL42" i="10"/>
  <c r="BK42" i="10"/>
  <c r="BI42" i="10"/>
  <c r="BH42" i="10"/>
  <c r="BF42" i="10"/>
  <c r="BE42" i="10"/>
  <c r="BC42" i="10"/>
  <c r="BB42" i="10"/>
  <c r="AZ42" i="10"/>
  <c r="AY42" i="10"/>
  <c r="AW42" i="10"/>
  <c r="AV42" i="10"/>
  <c r="AT42" i="10"/>
  <c r="AS42" i="10"/>
  <c r="AQ42" i="10"/>
  <c r="AP42" i="10"/>
  <c r="AN42" i="10"/>
  <c r="AM42" i="10"/>
  <c r="AK42" i="10"/>
  <c r="AJ42" i="10"/>
  <c r="AH42" i="10"/>
  <c r="AG42" i="10"/>
  <c r="AE42" i="10"/>
  <c r="AD42" i="10"/>
  <c r="AB42" i="10"/>
  <c r="AA42" i="10"/>
  <c r="Y42" i="10"/>
  <c r="X42" i="10"/>
  <c r="V42" i="10"/>
  <c r="U42" i="10"/>
  <c r="S42" i="10"/>
  <c r="R42" i="10"/>
  <c r="P42" i="10"/>
  <c r="O42" i="10"/>
  <c r="M42" i="10"/>
  <c r="L42" i="10"/>
  <c r="J42" i="10"/>
  <c r="I42" i="10"/>
  <c r="EO41" i="10"/>
  <c r="EN41" i="10"/>
  <c r="EL41" i="10"/>
  <c r="EK41" i="10"/>
  <c r="EI41" i="10"/>
  <c r="EH41" i="10"/>
  <c r="EF41" i="10"/>
  <c r="EE41" i="10"/>
  <c r="EC41" i="10"/>
  <c r="EB41" i="10"/>
  <c r="DZ41" i="10"/>
  <c r="DY41" i="10"/>
  <c r="DW41" i="10"/>
  <c r="DV41" i="10"/>
  <c r="DT41" i="10"/>
  <c r="DS41" i="10"/>
  <c r="DQ41" i="10"/>
  <c r="DP41" i="10"/>
  <c r="DN41" i="10"/>
  <c r="DM41" i="10"/>
  <c r="DK41" i="10"/>
  <c r="DJ41" i="10"/>
  <c r="DH41" i="10"/>
  <c r="DG41" i="10"/>
  <c r="DE41" i="10"/>
  <c r="DD41" i="10"/>
  <c r="DB41" i="10"/>
  <c r="DA41" i="10"/>
  <c r="CY41" i="10"/>
  <c r="CX41" i="10"/>
  <c r="CV41" i="10"/>
  <c r="CU41" i="10"/>
  <c r="CS41" i="10"/>
  <c r="CR41" i="10"/>
  <c r="CP41" i="10"/>
  <c r="CO41" i="10"/>
  <c r="CM41" i="10"/>
  <c r="CL41" i="10"/>
  <c r="CJ41" i="10"/>
  <c r="CI41" i="10"/>
  <c r="CG41" i="10"/>
  <c r="CF41" i="10"/>
  <c r="CD41" i="10"/>
  <c r="CC41" i="10"/>
  <c r="CA41" i="10"/>
  <c r="BZ41" i="10"/>
  <c r="BX41" i="10"/>
  <c r="BW41" i="10"/>
  <c r="BU41" i="10"/>
  <c r="BT41" i="10"/>
  <c r="BR41" i="10"/>
  <c r="BQ41" i="10"/>
  <c r="BO41" i="10"/>
  <c r="BN41" i="10"/>
  <c r="BL41" i="10"/>
  <c r="BK41" i="10"/>
  <c r="BI41" i="10"/>
  <c r="BH41" i="10"/>
  <c r="BF41" i="10"/>
  <c r="BE41" i="10"/>
  <c r="BC41" i="10"/>
  <c r="BB41" i="10"/>
  <c r="AZ41" i="10"/>
  <c r="AY41" i="10"/>
  <c r="AW41" i="10"/>
  <c r="AV41" i="10"/>
  <c r="AT41" i="10"/>
  <c r="AS41" i="10"/>
  <c r="AQ41" i="10"/>
  <c r="AP41" i="10"/>
  <c r="AN41" i="10"/>
  <c r="AM41" i="10"/>
  <c r="AK41" i="10"/>
  <c r="AJ41" i="10"/>
  <c r="AH41" i="10"/>
  <c r="AG41" i="10"/>
  <c r="AE41" i="10"/>
  <c r="AD41" i="10"/>
  <c r="AB41" i="10"/>
  <c r="AA41" i="10"/>
  <c r="Y41" i="10"/>
  <c r="X41" i="10"/>
  <c r="V41" i="10"/>
  <c r="U41" i="10"/>
  <c r="S41" i="10"/>
  <c r="R41" i="10"/>
  <c r="P41" i="10"/>
  <c r="O41" i="10"/>
  <c r="M41" i="10"/>
  <c r="L41" i="10"/>
  <c r="J41" i="10"/>
  <c r="I41" i="10"/>
  <c r="EO40" i="10"/>
  <c r="EN40" i="10"/>
  <c r="EL40" i="10"/>
  <c r="EK40" i="10"/>
  <c r="EI40" i="10"/>
  <c r="EH40" i="10"/>
  <c r="EF40" i="10"/>
  <c r="EE40" i="10"/>
  <c r="EC40" i="10"/>
  <c r="EB40" i="10"/>
  <c r="DZ40" i="10"/>
  <c r="DY40" i="10"/>
  <c r="DW40" i="10"/>
  <c r="DV40" i="10"/>
  <c r="DT40" i="10"/>
  <c r="DS40" i="10"/>
  <c r="DQ40" i="10"/>
  <c r="DP40" i="10"/>
  <c r="DN40" i="10"/>
  <c r="DM40" i="10"/>
  <c r="DK40" i="10"/>
  <c r="DJ40" i="10"/>
  <c r="DH40" i="10"/>
  <c r="DG40" i="10"/>
  <c r="DE40" i="10"/>
  <c r="DD40" i="10"/>
  <c r="DB40" i="10"/>
  <c r="DA40" i="10"/>
  <c r="CY40" i="10"/>
  <c r="CX40" i="10"/>
  <c r="CV40" i="10"/>
  <c r="CU40" i="10"/>
  <c r="CS40" i="10"/>
  <c r="CR40" i="10"/>
  <c r="CP40" i="10"/>
  <c r="CO40" i="10"/>
  <c r="CM40" i="10"/>
  <c r="CL40" i="10"/>
  <c r="CJ40" i="10"/>
  <c r="CI40" i="10"/>
  <c r="CG40" i="10"/>
  <c r="CF40" i="10"/>
  <c r="CD40" i="10"/>
  <c r="CC40" i="10"/>
  <c r="CA40" i="10"/>
  <c r="BZ40" i="10"/>
  <c r="BX40" i="10"/>
  <c r="BW40" i="10"/>
  <c r="BU40" i="10"/>
  <c r="BT40" i="10"/>
  <c r="BR40" i="10"/>
  <c r="BQ40" i="10"/>
  <c r="BO40" i="10"/>
  <c r="BN40" i="10"/>
  <c r="BL40" i="10"/>
  <c r="BK40" i="10"/>
  <c r="BI40" i="10"/>
  <c r="BH40" i="10"/>
  <c r="BF40" i="10"/>
  <c r="BE40" i="10"/>
  <c r="BC40" i="10"/>
  <c r="BB40" i="10"/>
  <c r="AZ40" i="10"/>
  <c r="AY40" i="10"/>
  <c r="AW40" i="10"/>
  <c r="AV40" i="10"/>
  <c r="AT40" i="10"/>
  <c r="AS40" i="10"/>
  <c r="AQ40" i="10"/>
  <c r="AP40" i="10"/>
  <c r="AN40" i="10"/>
  <c r="AM40" i="10"/>
  <c r="AK40" i="10"/>
  <c r="AJ40" i="10"/>
  <c r="AH40" i="10"/>
  <c r="AG40" i="10"/>
  <c r="AE40" i="10"/>
  <c r="AD40" i="10"/>
  <c r="AB40" i="10"/>
  <c r="AA40" i="10"/>
  <c r="Y40" i="10"/>
  <c r="X40" i="10"/>
  <c r="V40" i="10"/>
  <c r="U40" i="10"/>
  <c r="S40" i="10"/>
  <c r="R40" i="10"/>
  <c r="P40" i="10"/>
  <c r="O40" i="10"/>
  <c r="M40" i="10"/>
  <c r="L40" i="10"/>
  <c r="J40" i="10"/>
  <c r="I40" i="10"/>
  <c r="EO39" i="10"/>
  <c r="EN39" i="10"/>
  <c r="EL39" i="10"/>
  <c r="EK39" i="10"/>
  <c r="EI39" i="10"/>
  <c r="EH39" i="10"/>
  <c r="EF39" i="10"/>
  <c r="EE39" i="10"/>
  <c r="EC39" i="10"/>
  <c r="EB39" i="10"/>
  <c r="DZ39" i="10"/>
  <c r="DY39" i="10"/>
  <c r="DW39" i="10"/>
  <c r="DV39" i="10"/>
  <c r="DT39" i="10"/>
  <c r="DS39" i="10"/>
  <c r="DQ39" i="10"/>
  <c r="DP39" i="10"/>
  <c r="DN39" i="10"/>
  <c r="DM39" i="10"/>
  <c r="DK39" i="10"/>
  <c r="DJ39" i="10"/>
  <c r="DH39" i="10"/>
  <c r="DG39" i="10"/>
  <c r="DE39" i="10"/>
  <c r="DD39" i="10"/>
  <c r="DB39" i="10"/>
  <c r="DA39" i="10"/>
  <c r="CY39" i="10"/>
  <c r="CX39" i="10"/>
  <c r="CV39" i="10"/>
  <c r="CU39" i="10"/>
  <c r="CS39" i="10"/>
  <c r="CR39" i="10"/>
  <c r="CP39" i="10"/>
  <c r="CO39" i="10"/>
  <c r="CM39" i="10"/>
  <c r="CL39" i="10"/>
  <c r="CJ39" i="10"/>
  <c r="CI39" i="10"/>
  <c r="CG39" i="10"/>
  <c r="CF39" i="10"/>
  <c r="CD39" i="10"/>
  <c r="CC39" i="10"/>
  <c r="CA39" i="10"/>
  <c r="BZ39" i="10"/>
  <c r="BX39" i="10"/>
  <c r="BW39" i="10"/>
  <c r="BU39" i="10"/>
  <c r="BT39" i="10"/>
  <c r="BR39" i="10"/>
  <c r="BQ39" i="10"/>
  <c r="BO39" i="10"/>
  <c r="BN39" i="10"/>
  <c r="BL39" i="10"/>
  <c r="BK39" i="10"/>
  <c r="BI39" i="10"/>
  <c r="BH39" i="10"/>
  <c r="BF39" i="10"/>
  <c r="BE39" i="10"/>
  <c r="BC39" i="10"/>
  <c r="BB39" i="10"/>
  <c r="AZ39" i="10"/>
  <c r="AY39" i="10"/>
  <c r="AW39" i="10"/>
  <c r="AV39" i="10"/>
  <c r="AT39" i="10"/>
  <c r="AS39" i="10"/>
  <c r="AQ39" i="10"/>
  <c r="AP39" i="10"/>
  <c r="AN39" i="10"/>
  <c r="AM39" i="10"/>
  <c r="AK39" i="10"/>
  <c r="AJ39" i="10"/>
  <c r="AH39" i="10"/>
  <c r="AG39" i="10"/>
  <c r="AE39" i="10"/>
  <c r="AD39" i="10"/>
  <c r="AB39" i="10"/>
  <c r="AA39" i="10"/>
  <c r="Y39" i="10"/>
  <c r="X39" i="10"/>
  <c r="V39" i="10"/>
  <c r="U39" i="10"/>
  <c r="S39" i="10"/>
  <c r="R39" i="10"/>
  <c r="P39" i="10"/>
  <c r="O39" i="10"/>
  <c r="M39" i="10"/>
  <c r="L39" i="10"/>
  <c r="J39" i="10"/>
  <c r="I39" i="10"/>
  <c r="EO38" i="10"/>
  <c r="EN38" i="10"/>
  <c r="EL38" i="10"/>
  <c r="EK38" i="10"/>
  <c r="EI38" i="10"/>
  <c r="EH38" i="10"/>
  <c r="EF38" i="10"/>
  <c r="EE38" i="10"/>
  <c r="EC38" i="10"/>
  <c r="EB38" i="10"/>
  <c r="DZ38" i="10"/>
  <c r="DY38" i="10"/>
  <c r="DW38" i="10"/>
  <c r="DV38" i="10"/>
  <c r="DT38" i="10"/>
  <c r="DS38" i="10"/>
  <c r="DQ38" i="10"/>
  <c r="DP38" i="10"/>
  <c r="DN38" i="10"/>
  <c r="DM38" i="10"/>
  <c r="DK38" i="10"/>
  <c r="DJ38" i="10"/>
  <c r="DH38" i="10"/>
  <c r="DG38" i="10"/>
  <c r="DE38" i="10"/>
  <c r="DD38" i="10"/>
  <c r="DB38" i="10"/>
  <c r="DA38" i="10"/>
  <c r="CY38" i="10"/>
  <c r="CX38" i="10"/>
  <c r="CV38" i="10"/>
  <c r="CU38" i="10"/>
  <c r="CS38" i="10"/>
  <c r="CR38" i="10"/>
  <c r="CP38" i="10"/>
  <c r="CO38" i="10"/>
  <c r="CM38" i="10"/>
  <c r="CL38" i="10"/>
  <c r="CJ38" i="10"/>
  <c r="CI38" i="10"/>
  <c r="CG38" i="10"/>
  <c r="CF38" i="10"/>
  <c r="CD38" i="10"/>
  <c r="CC38" i="10"/>
  <c r="CA38" i="10"/>
  <c r="BZ38" i="10"/>
  <c r="BX38" i="10"/>
  <c r="BW38" i="10"/>
  <c r="BU38" i="10"/>
  <c r="BT38" i="10"/>
  <c r="BR38" i="10"/>
  <c r="BQ38" i="10"/>
  <c r="BO38" i="10"/>
  <c r="BN38" i="10"/>
  <c r="BL38" i="10"/>
  <c r="BK38" i="10"/>
  <c r="BI38" i="10"/>
  <c r="BH38" i="10"/>
  <c r="BF38" i="10"/>
  <c r="BE38" i="10"/>
  <c r="BC38" i="10"/>
  <c r="BB38" i="10"/>
  <c r="AZ38" i="10"/>
  <c r="AY38" i="10"/>
  <c r="AW38" i="10"/>
  <c r="AV38" i="10"/>
  <c r="AT38" i="10"/>
  <c r="AS38" i="10"/>
  <c r="AQ38" i="10"/>
  <c r="AP38" i="10"/>
  <c r="AN38" i="10"/>
  <c r="AM38" i="10"/>
  <c r="AK38" i="10"/>
  <c r="AJ38" i="10"/>
  <c r="AH38" i="10"/>
  <c r="AG38" i="10"/>
  <c r="AE38" i="10"/>
  <c r="AD38" i="10"/>
  <c r="AB38" i="10"/>
  <c r="AA38" i="10"/>
  <c r="Y38" i="10"/>
  <c r="X38" i="10"/>
  <c r="V38" i="10"/>
  <c r="U38" i="10"/>
  <c r="S38" i="10"/>
  <c r="R38" i="10"/>
  <c r="P38" i="10"/>
  <c r="O38" i="10"/>
  <c r="M38" i="10"/>
  <c r="L38" i="10"/>
  <c r="J38" i="10"/>
  <c r="I38" i="10"/>
  <c r="EO37" i="10"/>
  <c r="EN37" i="10"/>
  <c r="EL37" i="10"/>
  <c r="EK37" i="10"/>
  <c r="EI37" i="10"/>
  <c r="EH37" i="10"/>
  <c r="EF37" i="10"/>
  <c r="EE37" i="10"/>
  <c r="EC37" i="10"/>
  <c r="EB37" i="10"/>
  <c r="DZ37" i="10"/>
  <c r="DY37" i="10"/>
  <c r="DW37" i="10"/>
  <c r="DV37" i="10"/>
  <c r="DT37" i="10"/>
  <c r="DS37" i="10"/>
  <c r="DQ37" i="10"/>
  <c r="DP37" i="10"/>
  <c r="DN37" i="10"/>
  <c r="DM37" i="10"/>
  <c r="DK37" i="10"/>
  <c r="DJ37" i="10"/>
  <c r="DH37" i="10"/>
  <c r="DG37" i="10"/>
  <c r="DE37" i="10"/>
  <c r="DD37" i="10"/>
  <c r="DB37" i="10"/>
  <c r="DA37" i="10"/>
  <c r="CY37" i="10"/>
  <c r="CX37" i="10"/>
  <c r="CV37" i="10"/>
  <c r="CU37" i="10"/>
  <c r="CS37" i="10"/>
  <c r="CR37" i="10"/>
  <c r="CP37" i="10"/>
  <c r="CO37" i="10"/>
  <c r="CM37" i="10"/>
  <c r="CL37" i="10"/>
  <c r="CJ37" i="10"/>
  <c r="CI37" i="10"/>
  <c r="CG37" i="10"/>
  <c r="CF37" i="10"/>
  <c r="CD37" i="10"/>
  <c r="CC37" i="10"/>
  <c r="CA37" i="10"/>
  <c r="BZ37" i="10"/>
  <c r="BX37" i="10"/>
  <c r="BW37" i="10"/>
  <c r="BU37" i="10"/>
  <c r="BT37" i="10"/>
  <c r="BR37" i="10"/>
  <c r="BQ37" i="10"/>
  <c r="BO37" i="10"/>
  <c r="BN37" i="10"/>
  <c r="BL37" i="10"/>
  <c r="BK37" i="10"/>
  <c r="BI37" i="10"/>
  <c r="BH37" i="10"/>
  <c r="BF37" i="10"/>
  <c r="BE37" i="10"/>
  <c r="BC37" i="10"/>
  <c r="BB37" i="10"/>
  <c r="AZ37" i="10"/>
  <c r="AY37" i="10"/>
  <c r="AW37" i="10"/>
  <c r="AV37" i="10"/>
  <c r="AT37" i="10"/>
  <c r="AS37" i="10"/>
  <c r="AQ37" i="10"/>
  <c r="AP37" i="10"/>
  <c r="AN37" i="10"/>
  <c r="AM37" i="10"/>
  <c r="AK37" i="10"/>
  <c r="AJ37" i="10"/>
  <c r="AH37" i="10"/>
  <c r="AG37" i="10"/>
  <c r="AE37" i="10"/>
  <c r="AD37" i="10"/>
  <c r="AB37" i="10"/>
  <c r="AA37" i="10"/>
  <c r="Y37" i="10"/>
  <c r="X37" i="10"/>
  <c r="V37" i="10"/>
  <c r="U37" i="10"/>
  <c r="S37" i="10"/>
  <c r="R37" i="10"/>
  <c r="P37" i="10"/>
  <c r="O37" i="10"/>
  <c r="M37" i="10"/>
  <c r="L37" i="10"/>
  <c r="J37" i="10"/>
  <c r="I37" i="10"/>
  <c r="EO36" i="10"/>
  <c r="EN36" i="10"/>
  <c r="EL36" i="10"/>
  <c r="EK36" i="10"/>
  <c r="EI36" i="10"/>
  <c r="EH36" i="10"/>
  <c r="EF36" i="10"/>
  <c r="EE36" i="10"/>
  <c r="EC36" i="10"/>
  <c r="EB36" i="10"/>
  <c r="DZ36" i="10"/>
  <c r="DY36" i="10"/>
  <c r="DW36" i="10"/>
  <c r="DV36" i="10"/>
  <c r="DT36" i="10"/>
  <c r="DS36" i="10"/>
  <c r="DQ36" i="10"/>
  <c r="DP36" i="10"/>
  <c r="DN36" i="10"/>
  <c r="DM36" i="10"/>
  <c r="DK36" i="10"/>
  <c r="DJ36" i="10"/>
  <c r="DH36" i="10"/>
  <c r="DG36" i="10"/>
  <c r="DE36" i="10"/>
  <c r="DD36" i="10"/>
  <c r="DB36" i="10"/>
  <c r="DA36" i="10"/>
  <c r="CY36" i="10"/>
  <c r="CX36" i="10"/>
  <c r="CV36" i="10"/>
  <c r="CU36" i="10"/>
  <c r="CS36" i="10"/>
  <c r="CR36" i="10"/>
  <c r="CP36" i="10"/>
  <c r="CO36" i="10"/>
  <c r="CM36" i="10"/>
  <c r="CL36" i="10"/>
  <c r="CJ36" i="10"/>
  <c r="CI36" i="10"/>
  <c r="CG36" i="10"/>
  <c r="CF36" i="10"/>
  <c r="CD36" i="10"/>
  <c r="CC36" i="10"/>
  <c r="CA36" i="10"/>
  <c r="BZ36" i="10"/>
  <c r="BX36" i="10"/>
  <c r="BW36" i="10"/>
  <c r="BU36" i="10"/>
  <c r="BT36" i="10"/>
  <c r="BR36" i="10"/>
  <c r="BQ36" i="10"/>
  <c r="BO36" i="10"/>
  <c r="BN36" i="10"/>
  <c r="BL36" i="10"/>
  <c r="BK36" i="10"/>
  <c r="BI36" i="10"/>
  <c r="BH36" i="10"/>
  <c r="BF36" i="10"/>
  <c r="BE36" i="10"/>
  <c r="BC36" i="10"/>
  <c r="BB36" i="10"/>
  <c r="AZ36" i="10"/>
  <c r="AY36" i="10"/>
  <c r="AW36" i="10"/>
  <c r="AV36" i="10"/>
  <c r="AT36" i="10"/>
  <c r="AS36" i="10"/>
  <c r="AQ36" i="10"/>
  <c r="AP36" i="10"/>
  <c r="AN36" i="10"/>
  <c r="AM36" i="10"/>
  <c r="AK36" i="10"/>
  <c r="AJ36" i="10"/>
  <c r="AH36" i="10"/>
  <c r="AG36" i="10"/>
  <c r="AE36" i="10"/>
  <c r="AD36" i="10"/>
  <c r="AB36" i="10"/>
  <c r="AA36" i="10"/>
  <c r="Y36" i="10"/>
  <c r="X36" i="10"/>
  <c r="V36" i="10"/>
  <c r="U36" i="10"/>
  <c r="S36" i="10"/>
  <c r="R36" i="10"/>
  <c r="P36" i="10"/>
  <c r="O36" i="10"/>
  <c r="M36" i="10"/>
  <c r="L36" i="10"/>
  <c r="J36" i="10"/>
  <c r="I36" i="10"/>
  <c r="EO35" i="10"/>
  <c r="EN35" i="10"/>
  <c r="EL35" i="10"/>
  <c r="EK35" i="10"/>
  <c r="EI35" i="10"/>
  <c r="EH35" i="10"/>
  <c r="EF35" i="10"/>
  <c r="EE35" i="10"/>
  <c r="EC35" i="10"/>
  <c r="EB35" i="10"/>
  <c r="DZ35" i="10"/>
  <c r="DY35" i="10"/>
  <c r="DW35" i="10"/>
  <c r="DV35" i="10"/>
  <c r="DT35" i="10"/>
  <c r="DS35" i="10"/>
  <c r="DQ35" i="10"/>
  <c r="DP35" i="10"/>
  <c r="DN35" i="10"/>
  <c r="DM35" i="10"/>
  <c r="DK35" i="10"/>
  <c r="DJ35" i="10"/>
  <c r="DH35" i="10"/>
  <c r="DG35" i="10"/>
  <c r="DE35" i="10"/>
  <c r="DD35" i="10"/>
  <c r="DB35" i="10"/>
  <c r="DA35" i="10"/>
  <c r="CY35" i="10"/>
  <c r="CX35" i="10"/>
  <c r="CV35" i="10"/>
  <c r="CU35" i="10"/>
  <c r="CS35" i="10"/>
  <c r="CR35" i="10"/>
  <c r="CP35" i="10"/>
  <c r="CO35" i="10"/>
  <c r="CM35" i="10"/>
  <c r="CL35" i="10"/>
  <c r="CJ35" i="10"/>
  <c r="CI35" i="10"/>
  <c r="CG35" i="10"/>
  <c r="CF35" i="10"/>
  <c r="CD35" i="10"/>
  <c r="CC35" i="10"/>
  <c r="CA35" i="10"/>
  <c r="BZ35" i="10"/>
  <c r="BX35" i="10"/>
  <c r="BW35" i="10"/>
  <c r="BU35" i="10"/>
  <c r="BT35" i="10"/>
  <c r="BR35" i="10"/>
  <c r="BQ35" i="10"/>
  <c r="BO35" i="10"/>
  <c r="BN35" i="10"/>
  <c r="BL35" i="10"/>
  <c r="BK35" i="10"/>
  <c r="BI35" i="10"/>
  <c r="BH35" i="10"/>
  <c r="BF35" i="10"/>
  <c r="BE35" i="10"/>
  <c r="BC35" i="10"/>
  <c r="BB35" i="10"/>
  <c r="AZ35" i="10"/>
  <c r="AY35" i="10"/>
  <c r="AW35" i="10"/>
  <c r="AV35" i="10"/>
  <c r="AT35" i="10"/>
  <c r="AS35" i="10"/>
  <c r="AQ35" i="10"/>
  <c r="AP35" i="10"/>
  <c r="AN35" i="10"/>
  <c r="AM35" i="10"/>
  <c r="AK35" i="10"/>
  <c r="AJ35" i="10"/>
  <c r="AH35" i="10"/>
  <c r="AG35" i="10"/>
  <c r="AE35" i="10"/>
  <c r="AD35" i="10"/>
  <c r="AB35" i="10"/>
  <c r="AA35" i="10"/>
  <c r="Y35" i="10"/>
  <c r="X35" i="10"/>
  <c r="V35" i="10"/>
  <c r="U35" i="10"/>
  <c r="S35" i="10"/>
  <c r="R35" i="10"/>
  <c r="P35" i="10"/>
  <c r="O35" i="10"/>
  <c r="M35" i="10"/>
  <c r="L35" i="10"/>
  <c r="J35" i="10"/>
  <c r="I35" i="10"/>
  <c r="EO34" i="10"/>
  <c r="EN34" i="10"/>
  <c r="EL34" i="10"/>
  <c r="EK34" i="10"/>
  <c r="EI34" i="10"/>
  <c r="EH34" i="10"/>
  <c r="EF34" i="10"/>
  <c r="EE34" i="10"/>
  <c r="EC34" i="10"/>
  <c r="EB34" i="10"/>
  <c r="DZ34" i="10"/>
  <c r="DY34" i="10"/>
  <c r="DW34" i="10"/>
  <c r="DV34" i="10"/>
  <c r="DT34" i="10"/>
  <c r="DS34" i="10"/>
  <c r="DQ34" i="10"/>
  <c r="DP34" i="10"/>
  <c r="DN34" i="10"/>
  <c r="DM34" i="10"/>
  <c r="DK34" i="10"/>
  <c r="DJ34" i="10"/>
  <c r="DH34" i="10"/>
  <c r="DG34" i="10"/>
  <c r="DE34" i="10"/>
  <c r="DD34" i="10"/>
  <c r="DB34" i="10"/>
  <c r="DA34" i="10"/>
  <c r="CY34" i="10"/>
  <c r="CX34" i="10"/>
  <c r="CV34" i="10"/>
  <c r="CU34" i="10"/>
  <c r="CS34" i="10"/>
  <c r="CR34" i="10"/>
  <c r="CP34" i="10"/>
  <c r="CO34" i="10"/>
  <c r="CM34" i="10"/>
  <c r="CL34" i="10"/>
  <c r="CJ34" i="10"/>
  <c r="CI34" i="10"/>
  <c r="CG34" i="10"/>
  <c r="CF34" i="10"/>
  <c r="CD34" i="10"/>
  <c r="CC34" i="10"/>
  <c r="CA34" i="10"/>
  <c r="BZ34" i="10"/>
  <c r="BX34" i="10"/>
  <c r="BW34" i="10"/>
  <c r="BU34" i="10"/>
  <c r="BT34" i="10"/>
  <c r="BR34" i="10"/>
  <c r="BQ34" i="10"/>
  <c r="BO34" i="10"/>
  <c r="BN34" i="10"/>
  <c r="BL34" i="10"/>
  <c r="BK34" i="10"/>
  <c r="BI34" i="10"/>
  <c r="BH34" i="10"/>
  <c r="BF34" i="10"/>
  <c r="BE34" i="10"/>
  <c r="BC34" i="10"/>
  <c r="BB34" i="10"/>
  <c r="AZ34" i="10"/>
  <c r="AY34" i="10"/>
  <c r="AW34" i="10"/>
  <c r="AV34" i="10"/>
  <c r="AT34" i="10"/>
  <c r="AS34" i="10"/>
  <c r="AQ34" i="10"/>
  <c r="AP34" i="10"/>
  <c r="AN34" i="10"/>
  <c r="AM34" i="10"/>
  <c r="AK34" i="10"/>
  <c r="AJ34" i="10"/>
  <c r="AH34" i="10"/>
  <c r="AG34" i="10"/>
  <c r="AE34" i="10"/>
  <c r="AD34" i="10"/>
  <c r="AB34" i="10"/>
  <c r="AA34" i="10"/>
  <c r="Y34" i="10"/>
  <c r="X34" i="10"/>
  <c r="V34" i="10"/>
  <c r="U34" i="10"/>
  <c r="S34" i="10"/>
  <c r="R34" i="10"/>
  <c r="P34" i="10"/>
  <c r="O34" i="10"/>
  <c r="M34" i="10"/>
  <c r="L34" i="10"/>
  <c r="J34" i="10"/>
  <c r="I34" i="10"/>
  <c r="EO33" i="10"/>
  <c r="EN33" i="10"/>
  <c r="EL33" i="10"/>
  <c r="EK33" i="10"/>
  <c r="EI33" i="10"/>
  <c r="EH33" i="10"/>
  <c r="EF33" i="10"/>
  <c r="EE33" i="10"/>
  <c r="EC33" i="10"/>
  <c r="EB33" i="10"/>
  <c r="DZ33" i="10"/>
  <c r="DY33" i="10"/>
  <c r="DW33" i="10"/>
  <c r="DV33" i="10"/>
  <c r="DT33" i="10"/>
  <c r="DS33" i="10"/>
  <c r="DQ33" i="10"/>
  <c r="DP33" i="10"/>
  <c r="DN33" i="10"/>
  <c r="DM33" i="10"/>
  <c r="DK33" i="10"/>
  <c r="DJ33" i="10"/>
  <c r="DH33" i="10"/>
  <c r="DG33" i="10"/>
  <c r="DE33" i="10"/>
  <c r="DD33" i="10"/>
  <c r="DB33" i="10"/>
  <c r="DA33" i="10"/>
  <c r="CY33" i="10"/>
  <c r="CX33" i="10"/>
  <c r="CV33" i="10"/>
  <c r="CU33" i="10"/>
  <c r="CS33" i="10"/>
  <c r="CR33" i="10"/>
  <c r="CP33" i="10"/>
  <c r="CO33" i="10"/>
  <c r="CM33" i="10"/>
  <c r="CL33" i="10"/>
  <c r="CJ33" i="10"/>
  <c r="CI33" i="10"/>
  <c r="CG33" i="10"/>
  <c r="CF33" i="10"/>
  <c r="CD33" i="10"/>
  <c r="CC33" i="10"/>
  <c r="CA33" i="10"/>
  <c r="BZ33" i="10"/>
  <c r="BX33" i="10"/>
  <c r="BW33" i="10"/>
  <c r="BU33" i="10"/>
  <c r="BT33" i="10"/>
  <c r="BR33" i="10"/>
  <c r="BQ33" i="10"/>
  <c r="BO33" i="10"/>
  <c r="BN33" i="10"/>
  <c r="BL33" i="10"/>
  <c r="BK33" i="10"/>
  <c r="BI33" i="10"/>
  <c r="BH33" i="10"/>
  <c r="BF33" i="10"/>
  <c r="BE33" i="10"/>
  <c r="BC33" i="10"/>
  <c r="BB33" i="10"/>
  <c r="AZ33" i="10"/>
  <c r="AY33" i="10"/>
  <c r="AW33" i="10"/>
  <c r="AV33" i="10"/>
  <c r="AT33" i="10"/>
  <c r="AS33" i="10"/>
  <c r="AQ33" i="10"/>
  <c r="AP33" i="10"/>
  <c r="AN33" i="10"/>
  <c r="AM33" i="10"/>
  <c r="AK33" i="10"/>
  <c r="AJ33" i="10"/>
  <c r="AH33" i="10"/>
  <c r="AG33" i="10"/>
  <c r="AE33" i="10"/>
  <c r="AD33" i="10"/>
  <c r="AB33" i="10"/>
  <c r="AA33" i="10"/>
  <c r="Y33" i="10"/>
  <c r="X33" i="10"/>
  <c r="V33" i="10"/>
  <c r="U33" i="10"/>
  <c r="S33" i="10"/>
  <c r="R33" i="10"/>
  <c r="P33" i="10"/>
  <c r="O33" i="10"/>
  <c r="M33" i="10"/>
  <c r="L33" i="10"/>
  <c r="J33" i="10"/>
  <c r="I33" i="10"/>
  <c r="EO32" i="10"/>
  <c r="EN32" i="10"/>
  <c r="EL32" i="10"/>
  <c r="EK32" i="10"/>
  <c r="EI32" i="10"/>
  <c r="EH32" i="10"/>
  <c r="EF32" i="10"/>
  <c r="EE32" i="10"/>
  <c r="EC32" i="10"/>
  <c r="EB32" i="10"/>
  <c r="DZ32" i="10"/>
  <c r="DY32" i="10"/>
  <c r="DW32" i="10"/>
  <c r="DV32" i="10"/>
  <c r="DT32" i="10"/>
  <c r="DS32" i="10"/>
  <c r="DQ32" i="10"/>
  <c r="DP32" i="10"/>
  <c r="DN32" i="10"/>
  <c r="DM32" i="10"/>
  <c r="DK32" i="10"/>
  <c r="DJ32" i="10"/>
  <c r="DH32" i="10"/>
  <c r="DG32" i="10"/>
  <c r="DE32" i="10"/>
  <c r="DD32" i="10"/>
  <c r="DB32" i="10"/>
  <c r="DA32" i="10"/>
  <c r="CY32" i="10"/>
  <c r="CX32" i="10"/>
  <c r="CV32" i="10"/>
  <c r="CU32" i="10"/>
  <c r="CS32" i="10"/>
  <c r="CR32" i="10"/>
  <c r="CP32" i="10"/>
  <c r="CO32" i="10"/>
  <c r="CM32" i="10"/>
  <c r="CL32" i="10"/>
  <c r="CJ32" i="10"/>
  <c r="CI32" i="10"/>
  <c r="CG32" i="10"/>
  <c r="CF32" i="10"/>
  <c r="CD32" i="10"/>
  <c r="CC32" i="10"/>
  <c r="CA32" i="10"/>
  <c r="BZ32" i="10"/>
  <c r="BX32" i="10"/>
  <c r="BW32" i="10"/>
  <c r="BU32" i="10"/>
  <c r="BT32" i="10"/>
  <c r="BR32" i="10"/>
  <c r="BQ32" i="10"/>
  <c r="BO32" i="10"/>
  <c r="BN32" i="10"/>
  <c r="BL32" i="10"/>
  <c r="BK32" i="10"/>
  <c r="BI32" i="10"/>
  <c r="BH32" i="10"/>
  <c r="BF32" i="10"/>
  <c r="BE32" i="10"/>
  <c r="BC32" i="10"/>
  <c r="BB32" i="10"/>
  <c r="AZ32" i="10"/>
  <c r="AY32" i="10"/>
  <c r="AW32" i="10"/>
  <c r="AV32" i="10"/>
  <c r="AT32" i="10"/>
  <c r="AS32" i="10"/>
  <c r="AQ32" i="10"/>
  <c r="AP32" i="10"/>
  <c r="AN32" i="10"/>
  <c r="AM32" i="10"/>
  <c r="AK32" i="10"/>
  <c r="AJ32" i="10"/>
  <c r="AH32" i="10"/>
  <c r="AG32" i="10"/>
  <c r="AE32" i="10"/>
  <c r="AD32" i="10"/>
  <c r="AB32" i="10"/>
  <c r="AA32" i="10"/>
  <c r="Y32" i="10"/>
  <c r="X32" i="10"/>
  <c r="V32" i="10"/>
  <c r="U32" i="10"/>
  <c r="S32" i="10"/>
  <c r="R32" i="10"/>
  <c r="P32" i="10"/>
  <c r="O32" i="10"/>
  <c r="M32" i="10"/>
  <c r="L32" i="10"/>
  <c r="J32" i="10"/>
  <c r="I32" i="10"/>
  <c r="EO31" i="10"/>
  <c r="EN31" i="10"/>
  <c r="EL31" i="10"/>
  <c r="EK31" i="10"/>
  <c r="EI31" i="10"/>
  <c r="EH31" i="10"/>
  <c r="EF31" i="10"/>
  <c r="EE31" i="10"/>
  <c r="EC31" i="10"/>
  <c r="EB31" i="10"/>
  <c r="DZ31" i="10"/>
  <c r="DY31" i="10"/>
  <c r="DW31" i="10"/>
  <c r="DV31" i="10"/>
  <c r="DT31" i="10"/>
  <c r="DS31" i="10"/>
  <c r="DQ31" i="10"/>
  <c r="DP31" i="10"/>
  <c r="DN31" i="10"/>
  <c r="DM31" i="10"/>
  <c r="DK31" i="10"/>
  <c r="DJ31" i="10"/>
  <c r="DH31" i="10"/>
  <c r="DG31" i="10"/>
  <c r="DE31" i="10"/>
  <c r="DD31" i="10"/>
  <c r="DB31" i="10"/>
  <c r="DA31" i="10"/>
  <c r="CY31" i="10"/>
  <c r="CX31" i="10"/>
  <c r="CV31" i="10"/>
  <c r="CU31" i="10"/>
  <c r="CS31" i="10"/>
  <c r="CR31" i="10"/>
  <c r="CP31" i="10"/>
  <c r="CO31" i="10"/>
  <c r="CM31" i="10"/>
  <c r="CL31" i="10"/>
  <c r="CJ31" i="10"/>
  <c r="CI31" i="10"/>
  <c r="CG31" i="10"/>
  <c r="CF31" i="10"/>
  <c r="CD31" i="10"/>
  <c r="CC31" i="10"/>
  <c r="CA31" i="10"/>
  <c r="BZ31" i="10"/>
  <c r="BX31" i="10"/>
  <c r="BW31" i="10"/>
  <c r="BU31" i="10"/>
  <c r="BT31" i="10"/>
  <c r="BR31" i="10"/>
  <c r="BQ31" i="10"/>
  <c r="BO31" i="10"/>
  <c r="BN31" i="10"/>
  <c r="BL31" i="10"/>
  <c r="BK31" i="10"/>
  <c r="BI31" i="10"/>
  <c r="BH31" i="10"/>
  <c r="BF31" i="10"/>
  <c r="BE31" i="10"/>
  <c r="BC31" i="10"/>
  <c r="BB31" i="10"/>
  <c r="AZ31" i="10"/>
  <c r="AY31" i="10"/>
  <c r="AW31" i="10"/>
  <c r="AV31" i="10"/>
  <c r="AT31" i="10"/>
  <c r="AS31" i="10"/>
  <c r="AQ31" i="10"/>
  <c r="AP31" i="10"/>
  <c r="AN31" i="10"/>
  <c r="AM31" i="10"/>
  <c r="AK31" i="10"/>
  <c r="AJ31" i="10"/>
  <c r="AH31" i="10"/>
  <c r="AG31" i="10"/>
  <c r="AE31" i="10"/>
  <c r="AD31" i="10"/>
  <c r="AB31" i="10"/>
  <c r="AA31" i="10"/>
  <c r="Y31" i="10"/>
  <c r="X31" i="10"/>
  <c r="V31" i="10"/>
  <c r="U31" i="10"/>
  <c r="S31" i="10"/>
  <c r="R31" i="10"/>
  <c r="P31" i="10"/>
  <c r="O31" i="10"/>
  <c r="M31" i="10"/>
  <c r="L31" i="10"/>
  <c r="J31" i="10"/>
  <c r="I31" i="10"/>
  <c r="EO30" i="10"/>
  <c r="EN30" i="10"/>
  <c r="EL30" i="10"/>
  <c r="EK30" i="10"/>
  <c r="EI30" i="10"/>
  <c r="EH30" i="10"/>
  <c r="EF30" i="10"/>
  <c r="EE30" i="10"/>
  <c r="EC30" i="10"/>
  <c r="EB30" i="10"/>
  <c r="DZ30" i="10"/>
  <c r="DY30" i="10"/>
  <c r="DW30" i="10"/>
  <c r="DV30" i="10"/>
  <c r="DT30" i="10"/>
  <c r="DS30" i="10"/>
  <c r="DQ30" i="10"/>
  <c r="DP30" i="10"/>
  <c r="DN30" i="10"/>
  <c r="DM30" i="10"/>
  <c r="DK30" i="10"/>
  <c r="DJ30" i="10"/>
  <c r="DH30" i="10"/>
  <c r="DG30" i="10"/>
  <c r="DE30" i="10"/>
  <c r="DD30" i="10"/>
  <c r="DB30" i="10"/>
  <c r="DA30" i="10"/>
  <c r="CY30" i="10"/>
  <c r="CX30" i="10"/>
  <c r="CV30" i="10"/>
  <c r="CU30" i="10"/>
  <c r="CS30" i="10"/>
  <c r="CR30" i="10"/>
  <c r="CP30" i="10"/>
  <c r="CO30" i="10"/>
  <c r="CM30" i="10"/>
  <c r="CL30" i="10"/>
  <c r="CJ30" i="10"/>
  <c r="CI30" i="10"/>
  <c r="CG30" i="10"/>
  <c r="CF30" i="10"/>
  <c r="CD30" i="10"/>
  <c r="CC30" i="10"/>
  <c r="CA30" i="10"/>
  <c r="BZ30" i="10"/>
  <c r="BX30" i="10"/>
  <c r="BW30" i="10"/>
  <c r="BU30" i="10"/>
  <c r="BT30" i="10"/>
  <c r="BR30" i="10"/>
  <c r="BQ30" i="10"/>
  <c r="BO30" i="10"/>
  <c r="BN30" i="10"/>
  <c r="BL30" i="10"/>
  <c r="BK30" i="10"/>
  <c r="BI30" i="10"/>
  <c r="BH30" i="10"/>
  <c r="BF30" i="10"/>
  <c r="BE30" i="10"/>
  <c r="BC30" i="10"/>
  <c r="BB30" i="10"/>
  <c r="AZ30" i="10"/>
  <c r="AY30" i="10"/>
  <c r="AW30" i="10"/>
  <c r="AV30" i="10"/>
  <c r="AT30" i="10"/>
  <c r="AS30" i="10"/>
  <c r="AQ30" i="10"/>
  <c r="AP30" i="10"/>
  <c r="AN30" i="10"/>
  <c r="AM30" i="10"/>
  <c r="AK30" i="10"/>
  <c r="AJ30" i="10"/>
  <c r="AH30" i="10"/>
  <c r="AG30" i="10"/>
  <c r="AE30" i="10"/>
  <c r="AD30" i="10"/>
  <c r="AB30" i="10"/>
  <c r="AA30" i="10"/>
  <c r="Y30" i="10"/>
  <c r="X30" i="10"/>
  <c r="V30" i="10"/>
  <c r="U30" i="10"/>
  <c r="S30" i="10"/>
  <c r="R30" i="10"/>
  <c r="P30" i="10"/>
  <c r="O30" i="10"/>
  <c r="M30" i="10"/>
  <c r="L30" i="10"/>
  <c r="J30" i="10"/>
  <c r="I30" i="10"/>
  <c r="EO29" i="10"/>
  <c r="EN29" i="10"/>
  <c r="EL29" i="10"/>
  <c r="EK29" i="10"/>
  <c r="EI29" i="10"/>
  <c r="EH29" i="10"/>
  <c r="EF29" i="10"/>
  <c r="EE29" i="10"/>
  <c r="EC29" i="10"/>
  <c r="EB29" i="10"/>
  <c r="DZ29" i="10"/>
  <c r="DY29" i="10"/>
  <c r="DW29" i="10"/>
  <c r="DV29" i="10"/>
  <c r="DT29" i="10"/>
  <c r="DS29" i="10"/>
  <c r="DQ29" i="10"/>
  <c r="DP29" i="10"/>
  <c r="DN29" i="10"/>
  <c r="DM29" i="10"/>
  <c r="DK29" i="10"/>
  <c r="DJ29" i="10"/>
  <c r="DH29" i="10"/>
  <c r="DG29" i="10"/>
  <c r="DE29" i="10"/>
  <c r="DD29" i="10"/>
  <c r="DB29" i="10"/>
  <c r="DA29" i="10"/>
  <c r="CY29" i="10"/>
  <c r="CX29" i="10"/>
  <c r="CV29" i="10"/>
  <c r="CU29" i="10"/>
  <c r="CS29" i="10"/>
  <c r="CR29" i="10"/>
  <c r="CP29" i="10"/>
  <c r="CO29" i="10"/>
  <c r="CM29" i="10"/>
  <c r="CL29" i="10"/>
  <c r="CJ29" i="10"/>
  <c r="CI29" i="10"/>
  <c r="CG29" i="10"/>
  <c r="CF29" i="10"/>
  <c r="CD29" i="10"/>
  <c r="CC29" i="10"/>
  <c r="CA29" i="10"/>
  <c r="BZ29" i="10"/>
  <c r="BX29" i="10"/>
  <c r="BW29" i="10"/>
  <c r="BU29" i="10"/>
  <c r="BT29" i="10"/>
  <c r="BR29" i="10"/>
  <c r="BQ29" i="10"/>
  <c r="BO29" i="10"/>
  <c r="BN29" i="10"/>
  <c r="BL29" i="10"/>
  <c r="BK29" i="10"/>
  <c r="BI29" i="10"/>
  <c r="BH29" i="10"/>
  <c r="BF29" i="10"/>
  <c r="BE29" i="10"/>
  <c r="BC29" i="10"/>
  <c r="BB29" i="10"/>
  <c r="AZ29" i="10"/>
  <c r="AY29" i="10"/>
  <c r="AW29" i="10"/>
  <c r="AV29" i="10"/>
  <c r="AT29" i="10"/>
  <c r="AS29" i="10"/>
  <c r="AQ29" i="10"/>
  <c r="AP29" i="10"/>
  <c r="AN29" i="10"/>
  <c r="AM29" i="10"/>
  <c r="AK29" i="10"/>
  <c r="AJ29" i="10"/>
  <c r="AH29" i="10"/>
  <c r="AG29" i="10"/>
  <c r="AE29" i="10"/>
  <c r="AD29" i="10"/>
  <c r="AB29" i="10"/>
  <c r="AA29" i="10"/>
  <c r="Y29" i="10"/>
  <c r="X29" i="10"/>
  <c r="V29" i="10"/>
  <c r="U29" i="10"/>
  <c r="S29" i="10"/>
  <c r="R29" i="10"/>
  <c r="P29" i="10"/>
  <c r="O29" i="10"/>
  <c r="M29" i="10"/>
  <c r="L29" i="10"/>
  <c r="J29" i="10"/>
  <c r="I29" i="10"/>
  <c r="EO28" i="10"/>
  <c r="EN28" i="10"/>
  <c r="EL28" i="10"/>
  <c r="EK28" i="10"/>
  <c r="EI28" i="10"/>
  <c r="EH28" i="10"/>
  <c r="EF28" i="10"/>
  <c r="EE28" i="10"/>
  <c r="EC28" i="10"/>
  <c r="EB28" i="10"/>
  <c r="DZ28" i="10"/>
  <c r="DY28" i="10"/>
  <c r="DW28" i="10"/>
  <c r="DV28" i="10"/>
  <c r="DT28" i="10"/>
  <c r="DS28" i="10"/>
  <c r="DQ28" i="10"/>
  <c r="DP28" i="10"/>
  <c r="DN28" i="10"/>
  <c r="DM28" i="10"/>
  <c r="DK28" i="10"/>
  <c r="DJ28" i="10"/>
  <c r="DH28" i="10"/>
  <c r="DG28" i="10"/>
  <c r="DE28" i="10"/>
  <c r="DD28" i="10"/>
  <c r="DB28" i="10"/>
  <c r="DA28" i="10"/>
  <c r="CY28" i="10"/>
  <c r="CX28" i="10"/>
  <c r="CV28" i="10"/>
  <c r="CU28" i="10"/>
  <c r="CS28" i="10"/>
  <c r="CR28" i="10"/>
  <c r="CP28" i="10"/>
  <c r="CO28" i="10"/>
  <c r="CM28" i="10"/>
  <c r="CL28" i="10"/>
  <c r="CJ28" i="10"/>
  <c r="CI28" i="10"/>
  <c r="CG28" i="10"/>
  <c r="CF28" i="10"/>
  <c r="CD28" i="10"/>
  <c r="CC28" i="10"/>
  <c r="CA28" i="10"/>
  <c r="BZ28" i="10"/>
  <c r="BX28" i="10"/>
  <c r="BW28" i="10"/>
  <c r="BU28" i="10"/>
  <c r="BT28" i="10"/>
  <c r="BR28" i="10"/>
  <c r="BQ28" i="10"/>
  <c r="BO28" i="10"/>
  <c r="BN28" i="10"/>
  <c r="BL28" i="10"/>
  <c r="BK28" i="10"/>
  <c r="BI28" i="10"/>
  <c r="BH28" i="10"/>
  <c r="BF28" i="10"/>
  <c r="BE28" i="10"/>
  <c r="BC28" i="10"/>
  <c r="BB28" i="10"/>
  <c r="AZ28" i="10"/>
  <c r="AY28" i="10"/>
  <c r="AW28" i="10"/>
  <c r="AV28" i="10"/>
  <c r="AT28" i="10"/>
  <c r="AS28" i="10"/>
  <c r="AQ28" i="10"/>
  <c r="AP28" i="10"/>
  <c r="AN28" i="10"/>
  <c r="AM28" i="10"/>
  <c r="AK28" i="10"/>
  <c r="AJ28" i="10"/>
  <c r="AH28" i="10"/>
  <c r="AG28" i="10"/>
  <c r="AE28" i="10"/>
  <c r="AD28" i="10"/>
  <c r="AB28" i="10"/>
  <c r="AA28" i="10"/>
  <c r="Y28" i="10"/>
  <c r="X28" i="10"/>
  <c r="V28" i="10"/>
  <c r="U28" i="10"/>
  <c r="S28" i="10"/>
  <c r="R28" i="10"/>
  <c r="P28" i="10"/>
  <c r="O28" i="10"/>
  <c r="M28" i="10"/>
  <c r="L28" i="10"/>
  <c r="J28" i="10"/>
  <c r="I28" i="10"/>
  <c r="EO27" i="10"/>
  <c r="EN27" i="10"/>
  <c r="EL27" i="10"/>
  <c r="EK27" i="10"/>
  <c r="EI27" i="10"/>
  <c r="EH27" i="10"/>
  <c r="EF27" i="10"/>
  <c r="EE27" i="10"/>
  <c r="EC27" i="10"/>
  <c r="EB27" i="10"/>
  <c r="DZ27" i="10"/>
  <c r="DY27" i="10"/>
  <c r="DW27" i="10"/>
  <c r="DV27" i="10"/>
  <c r="DT27" i="10"/>
  <c r="DS27" i="10"/>
  <c r="DQ27" i="10"/>
  <c r="DP27" i="10"/>
  <c r="DN27" i="10"/>
  <c r="DM27" i="10"/>
  <c r="DK27" i="10"/>
  <c r="DJ27" i="10"/>
  <c r="DH27" i="10"/>
  <c r="DG27" i="10"/>
  <c r="DE27" i="10"/>
  <c r="DD27" i="10"/>
  <c r="DB27" i="10"/>
  <c r="DA27" i="10"/>
  <c r="CY27" i="10"/>
  <c r="CX27" i="10"/>
  <c r="CV27" i="10"/>
  <c r="CU27" i="10"/>
  <c r="CS27" i="10"/>
  <c r="CR27" i="10"/>
  <c r="CP27" i="10"/>
  <c r="CO27" i="10"/>
  <c r="CM27" i="10"/>
  <c r="CL27" i="10"/>
  <c r="CJ27" i="10"/>
  <c r="CI27" i="10"/>
  <c r="CG27" i="10"/>
  <c r="CF27" i="10"/>
  <c r="CD27" i="10"/>
  <c r="CC27" i="10"/>
  <c r="CA27" i="10"/>
  <c r="BZ27" i="10"/>
  <c r="BX27" i="10"/>
  <c r="BW27" i="10"/>
  <c r="BU27" i="10"/>
  <c r="BT27" i="10"/>
  <c r="BR27" i="10"/>
  <c r="BQ27" i="10"/>
  <c r="BO27" i="10"/>
  <c r="BN27" i="10"/>
  <c r="BL27" i="10"/>
  <c r="BK27" i="10"/>
  <c r="BI27" i="10"/>
  <c r="BH27" i="10"/>
  <c r="BF27" i="10"/>
  <c r="BE27" i="10"/>
  <c r="BC27" i="10"/>
  <c r="BB27" i="10"/>
  <c r="AZ27" i="10"/>
  <c r="AY27" i="10"/>
  <c r="AW27" i="10"/>
  <c r="AV27" i="10"/>
  <c r="AT27" i="10"/>
  <c r="AS27" i="10"/>
  <c r="AQ27" i="10"/>
  <c r="AP27" i="10"/>
  <c r="AN27" i="10"/>
  <c r="AM27" i="10"/>
  <c r="AK27" i="10"/>
  <c r="AJ27" i="10"/>
  <c r="AH27" i="10"/>
  <c r="AG27" i="10"/>
  <c r="AE27" i="10"/>
  <c r="AD27" i="10"/>
  <c r="AB27" i="10"/>
  <c r="AA27" i="10"/>
  <c r="Y27" i="10"/>
  <c r="X27" i="10"/>
  <c r="V27" i="10"/>
  <c r="U27" i="10"/>
  <c r="S27" i="10"/>
  <c r="R27" i="10"/>
  <c r="P27" i="10"/>
  <c r="O27" i="10"/>
  <c r="M27" i="10"/>
  <c r="L27" i="10"/>
  <c r="J27" i="10"/>
  <c r="I27" i="10"/>
  <c r="EO26" i="10"/>
  <c r="EN26" i="10"/>
  <c r="EL26" i="10"/>
  <c r="EK26" i="10"/>
  <c r="EI26" i="10"/>
  <c r="EH26" i="10"/>
  <c r="EF26" i="10"/>
  <c r="EE26" i="10"/>
  <c r="EC26" i="10"/>
  <c r="EB26" i="10"/>
  <c r="DZ26" i="10"/>
  <c r="DY26" i="10"/>
  <c r="DW26" i="10"/>
  <c r="DV26" i="10"/>
  <c r="DT26" i="10"/>
  <c r="DS26" i="10"/>
  <c r="DQ26" i="10"/>
  <c r="DP26" i="10"/>
  <c r="DN26" i="10"/>
  <c r="DM26" i="10"/>
  <c r="DK26" i="10"/>
  <c r="DJ26" i="10"/>
  <c r="DH26" i="10"/>
  <c r="DG26" i="10"/>
  <c r="DE26" i="10"/>
  <c r="DD26" i="10"/>
  <c r="DB26" i="10"/>
  <c r="DA26" i="10"/>
  <c r="CY26" i="10"/>
  <c r="CX26" i="10"/>
  <c r="CV26" i="10"/>
  <c r="CU26" i="10"/>
  <c r="CS26" i="10"/>
  <c r="CR26" i="10"/>
  <c r="CP26" i="10"/>
  <c r="CO26" i="10"/>
  <c r="CM26" i="10"/>
  <c r="CL26" i="10"/>
  <c r="CJ26" i="10"/>
  <c r="CI26" i="10"/>
  <c r="CG26" i="10"/>
  <c r="CF26" i="10"/>
  <c r="CD26" i="10"/>
  <c r="CC26" i="10"/>
  <c r="CA26" i="10"/>
  <c r="BZ26" i="10"/>
  <c r="BX26" i="10"/>
  <c r="BW26" i="10"/>
  <c r="BU26" i="10"/>
  <c r="BT26" i="10"/>
  <c r="BR26" i="10"/>
  <c r="BQ26" i="10"/>
  <c r="BO26" i="10"/>
  <c r="BN26" i="10"/>
  <c r="BL26" i="10"/>
  <c r="BK26" i="10"/>
  <c r="BI26" i="10"/>
  <c r="BH26" i="10"/>
  <c r="BF26" i="10"/>
  <c r="BE26" i="10"/>
  <c r="BC26" i="10"/>
  <c r="BB26" i="10"/>
  <c r="AZ26" i="10"/>
  <c r="AY26" i="10"/>
  <c r="AW26" i="10"/>
  <c r="AV26" i="10"/>
  <c r="AT26" i="10"/>
  <c r="AS26" i="10"/>
  <c r="AQ26" i="10"/>
  <c r="AP26" i="10"/>
  <c r="AN26" i="10"/>
  <c r="AM26" i="10"/>
  <c r="AK26" i="10"/>
  <c r="AJ26" i="10"/>
  <c r="AH26" i="10"/>
  <c r="AG26" i="10"/>
  <c r="AE26" i="10"/>
  <c r="AD26" i="10"/>
  <c r="AB26" i="10"/>
  <c r="AA26" i="10"/>
  <c r="Y26" i="10"/>
  <c r="X26" i="10"/>
  <c r="V26" i="10"/>
  <c r="U26" i="10"/>
  <c r="S26" i="10"/>
  <c r="R26" i="10"/>
  <c r="P26" i="10"/>
  <c r="O26" i="10"/>
  <c r="M26" i="10"/>
  <c r="L26" i="10"/>
  <c r="J26" i="10"/>
  <c r="I26" i="10"/>
  <c r="EO25" i="10"/>
  <c r="EN25" i="10"/>
  <c r="EL25" i="10"/>
  <c r="EK25" i="10"/>
  <c r="EI25" i="10"/>
  <c r="EH25" i="10"/>
  <c r="EF25" i="10"/>
  <c r="EE25" i="10"/>
  <c r="EC25" i="10"/>
  <c r="EB25" i="10"/>
  <c r="DZ25" i="10"/>
  <c r="DY25" i="10"/>
  <c r="DW25" i="10"/>
  <c r="DV25" i="10"/>
  <c r="DT25" i="10"/>
  <c r="DS25" i="10"/>
  <c r="DQ25" i="10"/>
  <c r="DP25" i="10"/>
  <c r="DN25" i="10"/>
  <c r="DM25" i="10"/>
  <c r="DK25" i="10"/>
  <c r="DJ25" i="10"/>
  <c r="DH25" i="10"/>
  <c r="DG25" i="10"/>
  <c r="DE25" i="10"/>
  <c r="DD25" i="10"/>
  <c r="DB25" i="10"/>
  <c r="DA25" i="10"/>
  <c r="CY25" i="10"/>
  <c r="CX25" i="10"/>
  <c r="CV25" i="10"/>
  <c r="CU25" i="10"/>
  <c r="CS25" i="10"/>
  <c r="CR25" i="10"/>
  <c r="CP25" i="10"/>
  <c r="CO25" i="10"/>
  <c r="CM25" i="10"/>
  <c r="CL25" i="10"/>
  <c r="CJ25" i="10"/>
  <c r="CI25" i="10"/>
  <c r="CG25" i="10"/>
  <c r="CF25" i="10"/>
  <c r="CD25" i="10"/>
  <c r="CC25" i="10"/>
  <c r="CA25" i="10"/>
  <c r="BZ25" i="10"/>
  <c r="BX25" i="10"/>
  <c r="BW25" i="10"/>
  <c r="BU25" i="10"/>
  <c r="BT25" i="10"/>
  <c r="BR25" i="10"/>
  <c r="BQ25" i="10"/>
  <c r="BO25" i="10"/>
  <c r="BN25" i="10"/>
  <c r="BL25" i="10"/>
  <c r="BK25" i="10"/>
  <c r="BI25" i="10"/>
  <c r="BH25" i="10"/>
  <c r="BF25" i="10"/>
  <c r="BE25" i="10"/>
  <c r="BC25" i="10"/>
  <c r="BB25" i="10"/>
  <c r="AZ25" i="10"/>
  <c r="AY25" i="10"/>
  <c r="AW25" i="10"/>
  <c r="AV25" i="10"/>
  <c r="AT25" i="10"/>
  <c r="AS25" i="10"/>
  <c r="AQ25" i="10"/>
  <c r="AP25" i="10"/>
  <c r="AN25" i="10"/>
  <c r="AM25" i="10"/>
  <c r="AK25" i="10"/>
  <c r="AJ25" i="10"/>
  <c r="AH25" i="10"/>
  <c r="AG25" i="10"/>
  <c r="AE25" i="10"/>
  <c r="AD25" i="10"/>
  <c r="AB25" i="10"/>
  <c r="AA25" i="10"/>
  <c r="Y25" i="10"/>
  <c r="X25" i="10"/>
  <c r="V25" i="10"/>
  <c r="U25" i="10"/>
  <c r="S25" i="10"/>
  <c r="R25" i="10"/>
  <c r="P25" i="10"/>
  <c r="O25" i="10"/>
  <c r="M25" i="10"/>
  <c r="L25" i="10"/>
  <c r="J25" i="10"/>
  <c r="I25" i="10"/>
  <c r="EO24" i="10"/>
  <c r="EN24" i="10"/>
  <c r="EL24" i="10"/>
  <c r="EK24" i="10"/>
  <c r="EI24" i="10"/>
  <c r="EH24" i="10"/>
  <c r="EF24" i="10"/>
  <c r="EE24" i="10"/>
  <c r="EC24" i="10"/>
  <c r="EB24" i="10"/>
  <c r="DZ24" i="10"/>
  <c r="DY24" i="10"/>
  <c r="DW24" i="10"/>
  <c r="DV24" i="10"/>
  <c r="DT24" i="10"/>
  <c r="DS24" i="10"/>
  <c r="DQ24" i="10"/>
  <c r="DP24" i="10"/>
  <c r="DN24" i="10"/>
  <c r="DM24" i="10"/>
  <c r="DK24" i="10"/>
  <c r="DJ24" i="10"/>
  <c r="DH24" i="10"/>
  <c r="DG24" i="10"/>
  <c r="DE24" i="10"/>
  <c r="DD24" i="10"/>
  <c r="DB24" i="10"/>
  <c r="DA24" i="10"/>
  <c r="CY24" i="10"/>
  <c r="CX24" i="10"/>
  <c r="CV24" i="10"/>
  <c r="CU24" i="10"/>
  <c r="CS24" i="10"/>
  <c r="CR24" i="10"/>
  <c r="CP24" i="10"/>
  <c r="CO24" i="10"/>
  <c r="CM24" i="10"/>
  <c r="CL24" i="10"/>
  <c r="CJ24" i="10"/>
  <c r="CI24" i="10"/>
  <c r="CG24" i="10"/>
  <c r="CF24" i="10"/>
  <c r="CD24" i="10"/>
  <c r="CC24" i="10"/>
  <c r="CA24" i="10"/>
  <c r="BZ24" i="10"/>
  <c r="BX24" i="10"/>
  <c r="BW24" i="10"/>
  <c r="BU24" i="10"/>
  <c r="BT24" i="10"/>
  <c r="BR24" i="10"/>
  <c r="BQ24" i="10"/>
  <c r="BO24" i="10"/>
  <c r="BN24" i="10"/>
  <c r="BL24" i="10"/>
  <c r="BK24" i="10"/>
  <c r="BI24" i="10"/>
  <c r="BH24" i="10"/>
  <c r="BF24" i="10"/>
  <c r="BE24" i="10"/>
  <c r="BC24" i="10"/>
  <c r="BB24" i="10"/>
  <c r="AZ24" i="10"/>
  <c r="AY24" i="10"/>
  <c r="AW24" i="10"/>
  <c r="AV24" i="10"/>
  <c r="AT24" i="10"/>
  <c r="AS24" i="10"/>
  <c r="AQ24" i="10"/>
  <c r="AP24" i="10"/>
  <c r="AN24" i="10"/>
  <c r="AM24" i="10"/>
  <c r="AK24" i="10"/>
  <c r="AJ24" i="10"/>
  <c r="AH24" i="10"/>
  <c r="AG24" i="10"/>
  <c r="AE24" i="10"/>
  <c r="AD24" i="10"/>
  <c r="AB24" i="10"/>
  <c r="AA24" i="10"/>
  <c r="Y24" i="10"/>
  <c r="X24" i="10"/>
  <c r="V24" i="10"/>
  <c r="U24" i="10"/>
  <c r="S24" i="10"/>
  <c r="R24" i="10"/>
  <c r="P24" i="10"/>
  <c r="O24" i="10"/>
  <c r="M24" i="10"/>
  <c r="L24" i="10"/>
  <c r="J24" i="10"/>
  <c r="I24" i="10"/>
  <c r="EO23" i="10"/>
  <c r="EN23" i="10"/>
  <c r="EL23" i="10"/>
  <c r="EK23" i="10"/>
  <c r="EI23" i="10"/>
  <c r="EH23" i="10"/>
  <c r="EF23" i="10"/>
  <c r="EE23" i="10"/>
  <c r="EC23" i="10"/>
  <c r="EB23" i="10"/>
  <c r="DZ23" i="10"/>
  <c r="DY23" i="10"/>
  <c r="DW23" i="10"/>
  <c r="DV23" i="10"/>
  <c r="DT23" i="10"/>
  <c r="DS23" i="10"/>
  <c r="DQ23" i="10"/>
  <c r="DP23" i="10"/>
  <c r="DN23" i="10"/>
  <c r="DM23" i="10"/>
  <c r="DK23" i="10"/>
  <c r="DJ23" i="10"/>
  <c r="DH23" i="10"/>
  <c r="DG23" i="10"/>
  <c r="DE23" i="10"/>
  <c r="DD23" i="10"/>
  <c r="DB23" i="10"/>
  <c r="DA23" i="10"/>
  <c r="CY23" i="10"/>
  <c r="CX23" i="10"/>
  <c r="CV23" i="10"/>
  <c r="CU23" i="10"/>
  <c r="CS23" i="10"/>
  <c r="CR23" i="10"/>
  <c r="CP23" i="10"/>
  <c r="CO23" i="10"/>
  <c r="CM23" i="10"/>
  <c r="CL23" i="10"/>
  <c r="CJ23" i="10"/>
  <c r="CI23" i="10"/>
  <c r="CG23" i="10"/>
  <c r="CF23" i="10"/>
  <c r="CD23" i="10"/>
  <c r="CC23" i="10"/>
  <c r="CA23" i="10"/>
  <c r="BZ23" i="10"/>
  <c r="BX23" i="10"/>
  <c r="BW23" i="10"/>
  <c r="BU23" i="10"/>
  <c r="BT23" i="10"/>
  <c r="BR23" i="10"/>
  <c r="BQ23" i="10"/>
  <c r="BO23" i="10"/>
  <c r="BN23" i="10"/>
  <c r="BL23" i="10"/>
  <c r="BK23" i="10"/>
  <c r="BI23" i="10"/>
  <c r="BH23" i="10"/>
  <c r="BF23" i="10"/>
  <c r="BE23" i="10"/>
  <c r="BC23" i="10"/>
  <c r="BB23" i="10"/>
  <c r="AZ23" i="10"/>
  <c r="AY23" i="10"/>
  <c r="AW23" i="10"/>
  <c r="AV23" i="10"/>
  <c r="AT23" i="10"/>
  <c r="AS23" i="10"/>
  <c r="AQ23" i="10"/>
  <c r="AP23" i="10"/>
  <c r="AN23" i="10"/>
  <c r="AM23" i="10"/>
  <c r="AK23" i="10"/>
  <c r="AJ23" i="10"/>
  <c r="AH23" i="10"/>
  <c r="AG23" i="10"/>
  <c r="AE23" i="10"/>
  <c r="AD23" i="10"/>
  <c r="AB23" i="10"/>
  <c r="AA23" i="10"/>
  <c r="Y23" i="10"/>
  <c r="X23" i="10"/>
  <c r="V23" i="10"/>
  <c r="U23" i="10"/>
  <c r="S23" i="10"/>
  <c r="R23" i="10"/>
  <c r="P23" i="10"/>
  <c r="O23" i="10"/>
  <c r="M23" i="10"/>
  <c r="L23" i="10"/>
  <c r="J23" i="10"/>
  <c r="I23" i="10"/>
  <c r="EO22" i="10"/>
  <c r="EN22" i="10"/>
  <c r="EL22" i="10"/>
  <c r="EK22" i="10"/>
  <c r="EI22" i="10"/>
  <c r="EH22" i="10"/>
  <c r="EF22" i="10"/>
  <c r="EE22" i="10"/>
  <c r="EC22" i="10"/>
  <c r="EB22" i="10"/>
  <c r="DZ22" i="10"/>
  <c r="DY22" i="10"/>
  <c r="DW22" i="10"/>
  <c r="DV22" i="10"/>
  <c r="DT22" i="10"/>
  <c r="DS22" i="10"/>
  <c r="DQ22" i="10"/>
  <c r="DP22" i="10"/>
  <c r="DN22" i="10"/>
  <c r="DM22" i="10"/>
  <c r="DK22" i="10"/>
  <c r="DJ22" i="10"/>
  <c r="DH22" i="10"/>
  <c r="DG22" i="10"/>
  <c r="DE22" i="10"/>
  <c r="DD22" i="10"/>
  <c r="DB22" i="10"/>
  <c r="DA22" i="10"/>
  <c r="CY22" i="10"/>
  <c r="CX22" i="10"/>
  <c r="CV22" i="10"/>
  <c r="CU22" i="10"/>
  <c r="CS22" i="10"/>
  <c r="CR22" i="10"/>
  <c r="CP22" i="10"/>
  <c r="CO22" i="10"/>
  <c r="CM22" i="10"/>
  <c r="CL22" i="10"/>
  <c r="CJ22" i="10"/>
  <c r="CI22" i="10"/>
  <c r="CG22" i="10"/>
  <c r="CF22" i="10"/>
  <c r="CD22" i="10"/>
  <c r="CC22" i="10"/>
  <c r="CA22" i="10"/>
  <c r="BZ22" i="10"/>
  <c r="BX22" i="10"/>
  <c r="BW22" i="10"/>
  <c r="BU22" i="10"/>
  <c r="BT22" i="10"/>
  <c r="BR22" i="10"/>
  <c r="BQ22" i="10"/>
  <c r="BO22" i="10"/>
  <c r="BN22" i="10"/>
  <c r="BL22" i="10"/>
  <c r="BK22" i="10"/>
  <c r="BI22" i="10"/>
  <c r="BH22" i="10"/>
  <c r="BF22" i="10"/>
  <c r="BE22" i="10"/>
  <c r="BC22" i="10"/>
  <c r="BB22" i="10"/>
  <c r="AZ22" i="10"/>
  <c r="AY22" i="10"/>
  <c r="AW22" i="10"/>
  <c r="AV22" i="10"/>
  <c r="AT22" i="10"/>
  <c r="AS22" i="10"/>
  <c r="AQ22" i="10"/>
  <c r="AP22" i="10"/>
  <c r="AN22" i="10"/>
  <c r="AM22" i="10"/>
  <c r="AK22" i="10"/>
  <c r="AJ22" i="10"/>
  <c r="AH22" i="10"/>
  <c r="AG22" i="10"/>
  <c r="AE22" i="10"/>
  <c r="AD22" i="10"/>
  <c r="AB22" i="10"/>
  <c r="AA22" i="10"/>
  <c r="Y22" i="10"/>
  <c r="X22" i="10"/>
  <c r="V22" i="10"/>
  <c r="U22" i="10"/>
  <c r="S22" i="10"/>
  <c r="R22" i="10"/>
  <c r="P22" i="10"/>
  <c r="O22" i="10"/>
  <c r="M22" i="10"/>
  <c r="L22" i="10"/>
  <c r="J22" i="10"/>
  <c r="I22" i="10"/>
  <c r="EO21" i="10"/>
  <c r="EN21" i="10"/>
  <c r="EL21" i="10"/>
  <c r="EK21" i="10"/>
  <c r="EI21" i="10"/>
  <c r="EH21" i="10"/>
  <c r="EF21" i="10"/>
  <c r="EE21" i="10"/>
  <c r="EC21" i="10"/>
  <c r="EB21" i="10"/>
  <c r="DZ21" i="10"/>
  <c r="DY21" i="10"/>
  <c r="DW21" i="10"/>
  <c r="DV21" i="10"/>
  <c r="DT21" i="10"/>
  <c r="DS21" i="10"/>
  <c r="DQ21" i="10"/>
  <c r="DP21" i="10"/>
  <c r="DN21" i="10"/>
  <c r="DM21" i="10"/>
  <c r="DK21" i="10"/>
  <c r="DJ21" i="10"/>
  <c r="DH21" i="10"/>
  <c r="DG21" i="10"/>
  <c r="DE21" i="10"/>
  <c r="DD21" i="10"/>
  <c r="DB21" i="10"/>
  <c r="DA21" i="10"/>
  <c r="CY21" i="10"/>
  <c r="CX21" i="10"/>
  <c r="CV21" i="10"/>
  <c r="CU21" i="10"/>
  <c r="CS21" i="10"/>
  <c r="CR21" i="10"/>
  <c r="CP21" i="10"/>
  <c r="CO21" i="10"/>
  <c r="CM21" i="10"/>
  <c r="CL21" i="10"/>
  <c r="CJ21" i="10"/>
  <c r="CI21" i="10"/>
  <c r="CG21" i="10"/>
  <c r="CF21" i="10"/>
  <c r="CD21" i="10"/>
  <c r="CC21" i="10"/>
  <c r="CA21" i="10"/>
  <c r="BZ21" i="10"/>
  <c r="BX21" i="10"/>
  <c r="BW21" i="10"/>
  <c r="BU21" i="10"/>
  <c r="BT21" i="10"/>
  <c r="BR21" i="10"/>
  <c r="BQ21" i="10"/>
  <c r="BO21" i="10"/>
  <c r="BN21" i="10"/>
  <c r="BL21" i="10"/>
  <c r="BK21" i="10"/>
  <c r="BI21" i="10"/>
  <c r="BH21" i="10"/>
  <c r="BF21" i="10"/>
  <c r="BE21" i="10"/>
  <c r="BC21" i="10"/>
  <c r="BB21" i="10"/>
  <c r="AZ21" i="10"/>
  <c r="AY21" i="10"/>
  <c r="AW21" i="10"/>
  <c r="AV21" i="10"/>
  <c r="AT21" i="10"/>
  <c r="AS21" i="10"/>
  <c r="AQ21" i="10"/>
  <c r="AP21" i="10"/>
  <c r="AN21" i="10"/>
  <c r="AM21" i="10"/>
  <c r="AK21" i="10"/>
  <c r="AJ21" i="10"/>
  <c r="AH21" i="10"/>
  <c r="AG21" i="10"/>
  <c r="AE21" i="10"/>
  <c r="AD21" i="10"/>
  <c r="AB21" i="10"/>
  <c r="AA21" i="10"/>
  <c r="Y21" i="10"/>
  <c r="X21" i="10"/>
  <c r="V21" i="10"/>
  <c r="U21" i="10"/>
  <c r="S21" i="10"/>
  <c r="R21" i="10"/>
  <c r="P21" i="10"/>
  <c r="O21" i="10"/>
  <c r="M21" i="10"/>
  <c r="L21" i="10"/>
  <c r="J21" i="10"/>
  <c r="I21" i="10"/>
  <c r="EO20" i="10"/>
  <c r="EN20" i="10"/>
  <c r="EL20" i="10"/>
  <c r="EK20" i="10"/>
  <c r="EI20" i="10"/>
  <c r="EH20" i="10"/>
  <c r="EF20" i="10"/>
  <c r="EE20" i="10"/>
  <c r="EC20" i="10"/>
  <c r="EB20" i="10"/>
  <c r="DZ20" i="10"/>
  <c r="DY20" i="10"/>
  <c r="DW20" i="10"/>
  <c r="DV20" i="10"/>
  <c r="DT20" i="10"/>
  <c r="DS20" i="10"/>
  <c r="DQ20" i="10"/>
  <c r="DP20" i="10"/>
  <c r="DN20" i="10"/>
  <c r="DM20" i="10"/>
  <c r="DK20" i="10"/>
  <c r="DJ20" i="10"/>
  <c r="DH20" i="10"/>
  <c r="DG20" i="10"/>
  <c r="DE20" i="10"/>
  <c r="DD20" i="10"/>
  <c r="DB20" i="10"/>
  <c r="DA20" i="10"/>
  <c r="CY20" i="10"/>
  <c r="CX20" i="10"/>
  <c r="CV20" i="10"/>
  <c r="CU20" i="10"/>
  <c r="CS20" i="10"/>
  <c r="CR20" i="10"/>
  <c r="CP20" i="10"/>
  <c r="CO20" i="10"/>
  <c r="CM20" i="10"/>
  <c r="CL20" i="10"/>
  <c r="CJ20" i="10"/>
  <c r="CI20" i="10"/>
  <c r="CG20" i="10"/>
  <c r="CF20" i="10"/>
  <c r="CD20" i="10"/>
  <c r="CC20" i="10"/>
  <c r="CA20" i="10"/>
  <c r="BZ20" i="10"/>
  <c r="BX20" i="10"/>
  <c r="BW20" i="10"/>
  <c r="BU20" i="10"/>
  <c r="BT20" i="10"/>
  <c r="BR20" i="10"/>
  <c r="BQ20" i="10"/>
  <c r="BO20" i="10"/>
  <c r="BN20" i="10"/>
  <c r="BL20" i="10"/>
  <c r="BK20" i="10"/>
  <c r="BI20" i="10"/>
  <c r="BH20" i="10"/>
  <c r="BF20" i="10"/>
  <c r="BE20" i="10"/>
  <c r="BC20" i="10"/>
  <c r="BB20" i="10"/>
  <c r="AZ20" i="10"/>
  <c r="AY20" i="10"/>
  <c r="AW20" i="10"/>
  <c r="AV20" i="10"/>
  <c r="AT20" i="10"/>
  <c r="AS20" i="10"/>
  <c r="AQ20" i="10"/>
  <c r="AP20" i="10"/>
  <c r="AN20" i="10"/>
  <c r="AM20" i="10"/>
  <c r="AK20" i="10"/>
  <c r="AJ20" i="10"/>
  <c r="AH20" i="10"/>
  <c r="AG20" i="10"/>
  <c r="AE20" i="10"/>
  <c r="AD20" i="10"/>
  <c r="AB20" i="10"/>
  <c r="AA20" i="10"/>
  <c r="Y20" i="10"/>
  <c r="X20" i="10"/>
  <c r="V20" i="10"/>
  <c r="U20" i="10"/>
  <c r="S20" i="10"/>
  <c r="R20" i="10"/>
  <c r="P20" i="10"/>
  <c r="O20" i="10"/>
  <c r="M20" i="10"/>
  <c r="L20" i="10"/>
  <c r="J20" i="10"/>
  <c r="I20" i="10"/>
  <c r="EO19" i="10"/>
  <c r="EN19" i="10"/>
  <c r="EL19" i="10"/>
  <c r="EK19" i="10"/>
  <c r="EI19" i="10"/>
  <c r="EH19" i="10"/>
  <c r="EF19" i="10"/>
  <c r="EE19" i="10"/>
  <c r="EC19" i="10"/>
  <c r="EB19" i="10"/>
  <c r="DZ19" i="10"/>
  <c r="DY19" i="10"/>
  <c r="DW19" i="10"/>
  <c r="DV19" i="10"/>
  <c r="DT19" i="10"/>
  <c r="DS19" i="10"/>
  <c r="DQ19" i="10"/>
  <c r="DP19" i="10"/>
  <c r="DN19" i="10"/>
  <c r="DM19" i="10"/>
  <c r="DK19" i="10"/>
  <c r="DJ19" i="10"/>
  <c r="DH19" i="10"/>
  <c r="DG19" i="10"/>
  <c r="DE19" i="10"/>
  <c r="DD19" i="10"/>
  <c r="DB19" i="10"/>
  <c r="DA19" i="10"/>
  <c r="CY19" i="10"/>
  <c r="CX19" i="10"/>
  <c r="CV19" i="10"/>
  <c r="CU19" i="10"/>
  <c r="CS19" i="10"/>
  <c r="CR19" i="10"/>
  <c r="CP19" i="10"/>
  <c r="CO19" i="10"/>
  <c r="CM19" i="10"/>
  <c r="CL19" i="10"/>
  <c r="CJ19" i="10"/>
  <c r="CI19" i="10"/>
  <c r="CG19" i="10"/>
  <c r="CF19" i="10"/>
  <c r="CD19" i="10"/>
  <c r="CC19" i="10"/>
  <c r="CA19" i="10"/>
  <c r="BZ19" i="10"/>
  <c r="BX19" i="10"/>
  <c r="BW19" i="10"/>
  <c r="BU19" i="10"/>
  <c r="BT19" i="10"/>
  <c r="BR19" i="10"/>
  <c r="BQ19" i="10"/>
  <c r="BO19" i="10"/>
  <c r="BN19" i="10"/>
  <c r="BL19" i="10"/>
  <c r="BK19" i="10"/>
  <c r="BI19" i="10"/>
  <c r="BH19" i="10"/>
  <c r="BF19" i="10"/>
  <c r="BE19" i="10"/>
  <c r="BC19" i="10"/>
  <c r="BB19" i="10"/>
  <c r="AZ19" i="10"/>
  <c r="AY19" i="10"/>
  <c r="AW19" i="10"/>
  <c r="AV19" i="10"/>
  <c r="AT19" i="10"/>
  <c r="AS19" i="10"/>
  <c r="AQ19" i="10"/>
  <c r="AP19" i="10"/>
  <c r="AN19" i="10"/>
  <c r="AM19" i="10"/>
  <c r="AK19" i="10"/>
  <c r="AJ19" i="10"/>
  <c r="AH19" i="10"/>
  <c r="AG19" i="10"/>
  <c r="AE19" i="10"/>
  <c r="AD19" i="10"/>
  <c r="AB19" i="10"/>
  <c r="AA19" i="10"/>
  <c r="Y19" i="10"/>
  <c r="X19" i="10"/>
  <c r="V19" i="10"/>
  <c r="U19" i="10"/>
  <c r="S19" i="10"/>
  <c r="R19" i="10"/>
  <c r="P19" i="10"/>
  <c r="O19" i="10"/>
  <c r="M19" i="10"/>
  <c r="L19" i="10"/>
  <c r="J19" i="10"/>
  <c r="I19" i="10"/>
  <c r="EO18" i="10"/>
  <c r="EN18" i="10"/>
  <c r="EL18" i="10"/>
  <c r="EK18" i="10"/>
  <c r="EI18" i="10"/>
  <c r="EH18" i="10"/>
  <c r="EF18" i="10"/>
  <c r="EE18" i="10"/>
  <c r="EC18" i="10"/>
  <c r="EB18" i="10"/>
  <c r="DZ18" i="10"/>
  <c r="DY18" i="10"/>
  <c r="DW18" i="10"/>
  <c r="DV18" i="10"/>
  <c r="DT18" i="10"/>
  <c r="DS18" i="10"/>
  <c r="DQ18" i="10"/>
  <c r="DP18" i="10"/>
  <c r="DN18" i="10"/>
  <c r="DM18" i="10"/>
  <c r="DK18" i="10"/>
  <c r="DJ18" i="10"/>
  <c r="DH18" i="10"/>
  <c r="DG18" i="10"/>
  <c r="DE18" i="10"/>
  <c r="DD18" i="10"/>
  <c r="DB18" i="10"/>
  <c r="DA18" i="10"/>
  <c r="CY18" i="10"/>
  <c r="CX18" i="10"/>
  <c r="CV18" i="10"/>
  <c r="CU18" i="10"/>
  <c r="CS18" i="10"/>
  <c r="CR18" i="10"/>
  <c r="CP18" i="10"/>
  <c r="CO18" i="10"/>
  <c r="CM18" i="10"/>
  <c r="CL18" i="10"/>
  <c r="CJ18" i="10"/>
  <c r="CI18" i="10"/>
  <c r="CG18" i="10"/>
  <c r="CF18" i="10"/>
  <c r="CD18" i="10"/>
  <c r="CC18" i="10"/>
  <c r="CA18" i="10"/>
  <c r="BZ18" i="10"/>
  <c r="BX18" i="10"/>
  <c r="BW18" i="10"/>
  <c r="BU18" i="10"/>
  <c r="BT18" i="10"/>
  <c r="BR18" i="10"/>
  <c r="BQ18" i="10"/>
  <c r="BO18" i="10"/>
  <c r="BN18" i="10"/>
  <c r="BL18" i="10"/>
  <c r="BK18" i="10"/>
  <c r="BI18" i="10"/>
  <c r="BH18" i="10"/>
  <c r="BF18" i="10"/>
  <c r="BE18" i="10"/>
  <c r="BC18" i="10"/>
  <c r="BB18" i="10"/>
  <c r="AZ18" i="10"/>
  <c r="AY18" i="10"/>
  <c r="AW18" i="10"/>
  <c r="AV18" i="10"/>
  <c r="AT18" i="10"/>
  <c r="AS18" i="10"/>
  <c r="AQ18" i="10"/>
  <c r="AP18" i="10"/>
  <c r="AN18" i="10"/>
  <c r="AM18" i="10"/>
  <c r="AK18" i="10"/>
  <c r="AJ18" i="10"/>
  <c r="AH18" i="10"/>
  <c r="AG18" i="10"/>
  <c r="AE18" i="10"/>
  <c r="AD18" i="10"/>
  <c r="AB18" i="10"/>
  <c r="AA18" i="10"/>
  <c r="Y18" i="10"/>
  <c r="X18" i="10"/>
  <c r="V18" i="10"/>
  <c r="U18" i="10"/>
  <c r="S18" i="10"/>
  <c r="R18" i="10"/>
  <c r="P18" i="10"/>
  <c r="O18" i="10"/>
  <c r="M18" i="10"/>
  <c r="L18" i="10"/>
  <c r="J18" i="10"/>
  <c r="I18" i="10"/>
  <c r="EO17" i="10"/>
  <c r="EN17" i="10"/>
  <c r="EL17" i="10"/>
  <c r="EK17" i="10"/>
  <c r="EI17" i="10"/>
  <c r="EH17" i="10"/>
  <c r="EF17" i="10"/>
  <c r="EE17" i="10"/>
  <c r="EC17" i="10"/>
  <c r="EB17" i="10"/>
  <c r="DZ17" i="10"/>
  <c r="DY17" i="10"/>
  <c r="DW17" i="10"/>
  <c r="DV17" i="10"/>
  <c r="DT17" i="10"/>
  <c r="DS17" i="10"/>
  <c r="DQ17" i="10"/>
  <c r="DP17" i="10"/>
  <c r="DN17" i="10"/>
  <c r="DM17" i="10"/>
  <c r="DK17" i="10"/>
  <c r="DJ17" i="10"/>
  <c r="DH17" i="10"/>
  <c r="DG17" i="10"/>
  <c r="DE17" i="10"/>
  <c r="DD17" i="10"/>
  <c r="DB17" i="10"/>
  <c r="DA17" i="10"/>
  <c r="CY17" i="10"/>
  <c r="CX17" i="10"/>
  <c r="CV17" i="10"/>
  <c r="CU17" i="10"/>
  <c r="CS17" i="10"/>
  <c r="CR17" i="10"/>
  <c r="CP17" i="10"/>
  <c r="CO17" i="10"/>
  <c r="CM17" i="10"/>
  <c r="CL17" i="10"/>
  <c r="CJ17" i="10"/>
  <c r="CI17" i="10"/>
  <c r="CG17" i="10"/>
  <c r="CF17" i="10"/>
  <c r="CD17" i="10"/>
  <c r="CC17" i="10"/>
  <c r="CA17" i="10"/>
  <c r="BZ17" i="10"/>
  <c r="BX17" i="10"/>
  <c r="BW17" i="10"/>
  <c r="BU17" i="10"/>
  <c r="BT17" i="10"/>
  <c r="BR17" i="10"/>
  <c r="BQ17" i="10"/>
  <c r="BO17" i="10"/>
  <c r="BN17" i="10"/>
  <c r="BL17" i="10"/>
  <c r="BK17" i="10"/>
  <c r="BI17" i="10"/>
  <c r="BH17" i="10"/>
  <c r="BF17" i="10"/>
  <c r="BE17" i="10"/>
  <c r="BC17" i="10"/>
  <c r="BB17" i="10"/>
  <c r="AZ17" i="10"/>
  <c r="AY17" i="10"/>
  <c r="AW17" i="10"/>
  <c r="AV17" i="10"/>
  <c r="AT17" i="10"/>
  <c r="AS17" i="10"/>
  <c r="AQ17" i="10"/>
  <c r="AP17" i="10"/>
  <c r="AN17" i="10"/>
  <c r="AM17" i="10"/>
  <c r="AK17" i="10"/>
  <c r="AJ17" i="10"/>
  <c r="AH17" i="10"/>
  <c r="AG17" i="10"/>
  <c r="AE17" i="10"/>
  <c r="AD17" i="10"/>
  <c r="AB17" i="10"/>
  <c r="AA17" i="10"/>
  <c r="Y17" i="10"/>
  <c r="X17" i="10"/>
  <c r="V17" i="10"/>
  <c r="U17" i="10"/>
  <c r="S17" i="10"/>
  <c r="R17" i="10"/>
  <c r="P17" i="10"/>
  <c r="O17" i="10"/>
  <c r="M17" i="10"/>
  <c r="L17" i="10"/>
  <c r="J17" i="10"/>
  <c r="I17" i="10"/>
  <c r="EO16" i="10"/>
  <c r="EN16" i="10"/>
  <c r="EL16" i="10"/>
  <c r="EK16" i="10"/>
  <c r="EI16" i="10"/>
  <c r="EH16" i="10"/>
  <c r="EF16" i="10"/>
  <c r="EE16" i="10"/>
  <c r="EC16" i="10"/>
  <c r="EB16" i="10"/>
  <c r="DZ16" i="10"/>
  <c r="DY16" i="10"/>
  <c r="DW16" i="10"/>
  <c r="DV16" i="10"/>
  <c r="DT16" i="10"/>
  <c r="DS16" i="10"/>
  <c r="DQ16" i="10"/>
  <c r="DP16" i="10"/>
  <c r="DN16" i="10"/>
  <c r="DM16" i="10"/>
  <c r="DK16" i="10"/>
  <c r="DJ16" i="10"/>
  <c r="DH16" i="10"/>
  <c r="DG16" i="10"/>
  <c r="DE16" i="10"/>
  <c r="DD16" i="10"/>
  <c r="DB16" i="10"/>
  <c r="DA16" i="10"/>
  <c r="CY16" i="10"/>
  <c r="CX16" i="10"/>
  <c r="CV16" i="10"/>
  <c r="CU16" i="10"/>
  <c r="CS16" i="10"/>
  <c r="CR16" i="10"/>
  <c r="CP16" i="10"/>
  <c r="CO16" i="10"/>
  <c r="CM16" i="10"/>
  <c r="CL16" i="10"/>
  <c r="CJ16" i="10"/>
  <c r="CI16" i="10"/>
  <c r="CG16" i="10"/>
  <c r="CF16" i="10"/>
  <c r="CD16" i="10"/>
  <c r="CC16" i="10"/>
  <c r="CA16" i="10"/>
  <c r="BZ16" i="10"/>
  <c r="BX16" i="10"/>
  <c r="BW16" i="10"/>
  <c r="BU16" i="10"/>
  <c r="BT16" i="10"/>
  <c r="BR16" i="10"/>
  <c r="BQ16" i="10"/>
  <c r="BO16" i="10"/>
  <c r="BN16" i="10"/>
  <c r="BL16" i="10"/>
  <c r="BK16" i="10"/>
  <c r="BI16" i="10"/>
  <c r="BH16" i="10"/>
  <c r="BF16" i="10"/>
  <c r="BE16" i="10"/>
  <c r="BC16" i="10"/>
  <c r="BB16" i="10"/>
  <c r="AZ16" i="10"/>
  <c r="AY16" i="10"/>
  <c r="AW16" i="10"/>
  <c r="AV16" i="10"/>
  <c r="AT16" i="10"/>
  <c r="AS16" i="10"/>
  <c r="AQ16" i="10"/>
  <c r="AP16" i="10"/>
  <c r="AN16" i="10"/>
  <c r="AM16" i="10"/>
  <c r="AK16" i="10"/>
  <c r="AJ16" i="10"/>
  <c r="AH16" i="10"/>
  <c r="AG16" i="10"/>
  <c r="AE16" i="10"/>
  <c r="AD16" i="10"/>
  <c r="AB16" i="10"/>
  <c r="AA16" i="10"/>
  <c r="Y16" i="10"/>
  <c r="X16" i="10"/>
  <c r="V16" i="10"/>
  <c r="U16" i="10"/>
  <c r="S16" i="10"/>
  <c r="R16" i="10"/>
  <c r="P16" i="10"/>
  <c r="O16" i="10"/>
  <c r="M16" i="10"/>
  <c r="L16" i="10"/>
  <c r="J16" i="10"/>
  <c r="I16" i="10"/>
  <c r="EO15" i="10"/>
  <c r="EN15" i="10"/>
  <c r="EL15" i="10"/>
  <c r="EK15" i="10"/>
  <c r="EI15" i="10"/>
  <c r="EH15" i="10"/>
  <c r="EF15" i="10"/>
  <c r="EE15" i="10"/>
  <c r="EC15" i="10"/>
  <c r="EB15" i="10"/>
  <c r="DZ15" i="10"/>
  <c r="DY15" i="10"/>
  <c r="DW15" i="10"/>
  <c r="DV15" i="10"/>
  <c r="DT15" i="10"/>
  <c r="DS15" i="10"/>
  <c r="DQ15" i="10"/>
  <c r="DP15" i="10"/>
  <c r="DN15" i="10"/>
  <c r="DM15" i="10"/>
  <c r="DK15" i="10"/>
  <c r="DJ15" i="10"/>
  <c r="DH15" i="10"/>
  <c r="DG15" i="10"/>
  <c r="DE15" i="10"/>
  <c r="DD15" i="10"/>
  <c r="DB15" i="10"/>
  <c r="DA15" i="10"/>
  <c r="CY15" i="10"/>
  <c r="CX15" i="10"/>
  <c r="CV15" i="10"/>
  <c r="CU15" i="10"/>
  <c r="CS15" i="10"/>
  <c r="CR15" i="10"/>
  <c r="CP15" i="10"/>
  <c r="CO15" i="10"/>
  <c r="CM15" i="10"/>
  <c r="CL15" i="10"/>
  <c r="CJ15" i="10"/>
  <c r="CI15" i="10"/>
  <c r="CG15" i="10"/>
  <c r="CF15" i="10"/>
  <c r="CD15" i="10"/>
  <c r="CC15" i="10"/>
  <c r="CA15" i="10"/>
  <c r="BZ15" i="10"/>
  <c r="BX15" i="10"/>
  <c r="BW15" i="10"/>
  <c r="BU15" i="10"/>
  <c r="BT15" i="10"/>
  <c r="BR15" i="10"/>
  <c r="BQ15" i="10"/>
  <c r="BO15" i="10"/>
  <c r="BN15" i="10"/>
  <c r="BL15" i="10"/>
  <c r="BK15" i="10"/>
  <c r="BI15" i="10"/>
  <c r="BH15" i="10"/>
  <c r="BF15" i="10"/>
  <c r="BE15" i="10"/>
  <c r="BC15" i="10"/>
  <c r="BB15" i="10"/>
  <c r="AZ15" i="10"/>
  <c r="AY15" i="10"/>
  <c r="AW15" i="10"/>
  <c r="AV15" i="10"/>
  <c r="AT15" i="10"/>
  <c r="AS15" i="10"/>
  <c r="AQ15" i="10"/>
  <c r="AP15" i="10"/>
  <c r="AN15" i="10"/>
  <c r="AM15" i="10"/>
  <c r="AK15" i="10"/>
  <c r="AJ15" i="10"/>
  <c r="AH15" i="10"/>
  <c r="AG15" i="10"/>
  <c r="AE15" i="10"/>
  <c r="AD15" i="10"/>
  <c r="AB15" i="10"/>
  <c r="AA15" i="10"/>
  <c r="Y15" i="10"/>
  <c r="X15" i="10"/>
  <c r="V15" i="10"/>
  <c r="U15" i="10"/>
  <c r="S15" i="10"/>
  <c r="R15" i="10"/>
  <c r="P15" i="10"/>
  <c r="O15" i="10"/>
  <c r="M15" i="10"/>
  <c r="L15" i="10"/>
  <c r="J15" i="10"/>
  <c r="I15" i="10"/>
  <c r="EO14" i="10"/>
  <c r="EN14" i="10"/>
  <c r="EL14" i="10"/>
  <c r="EK14" i="10"/>
  <c r="EI14" i="10"/>
  <c r="EH14" i="10"/>
  <c r="EF14" i="10"/>
  <c r="EE14" i="10"/>
  <c r="EC14" i="10"/>
  <c r="EB14" i="10"/>
  <c r="DZ14" i="10"/>
  <c r="DY14" i="10"/>
  <c r="DW14" i="10"/>
  <c r="DV14" i="10"/>
  <c r="DT14" i="10"/>
  <c r="DS14" i="10"/>
  <c r="DQ14" i="10"/>
  <c r="DP14" i="10"/>
  <c r="DN14" i="10"/>
  <c r="DM14" i="10"/>
  <c r="DK14" i="10"/>
  <c r="DJ14" i="10"/>
  <c r="DH14" i="10"/>
  <c r="DG14" i="10"/>
  <c r="DE14" i="10"/>
  <c r="DD14" i="10"/>
  <c r="DB14" i="10"/>
  <c r="DA14" i="10"/>
  <c r="CY14" i="10"/>
  <c r="CX14" i="10"/>
  <c r="CV14" i="10"/>
  <c r="CU14" i="10"/>
  <c r="CS14" i="10"/>
  <c r="CR14" i="10"/>
  <c r="CP14" i="10"/>
  <c r="CO14" i="10"/>
  <c r="CM14" i="10"/>
  <c r="CL14" i="10"/>
  <c r="CJ14" i="10"/>
  <c r="CI14" i="10"/>
  <c r="CG14" i="10"/>
  <c r="CF14" i="10"/>
  <c r="CD14" i="10"/>
  <c r="CC14" i="10"/>
  <c r="CA14" i="10"/>
  <c r="BZ14" i="10"/>
  <c r="BX14" i="10"/>
  <c r="BW14" i="10"/>
  <c r="BU14" i="10"/>
  <c r="BT14" i="10"/>
  <c r="BR14" i="10"/>
  <c r="BQ14" i="10"/>
  <c r="BO14" i="10"/>
  <c r="BN14" i="10"/>
  <c r="BL14" i="10"/>
  <c r="BK14" i="10"/>
  <c r="BI14" i="10"/>
  <c r="BH14" i="10"/>
  <c r="BF14" i="10"/>
  <c r="BE14" i="10"/>
  <c r="BC14" i="10"/>
  <c r="BB14" i="10"/>
  <c r="AZ14" i="10"/>
  <c r="AY14" i="10"/>
  <c r="AW14" i="10"/>
  <c r="AV14" i="10"/>
  <c r="AT14" i="10"/>
  <c r="AS14" i="10"/>
  <c r="AQ14" i="10"/>
  <c r="AP14" i="10"/>
  <c r="AN14" i="10"/>
  <c r="AM14" i="10"/>
  <c r="AK14" i="10"/>
  <c r="AJ14" i="10"/>
  <c r="AH14" i="10"/>
  <c r="AG14" i="10"/>
  <c r="AE14" i="10"/>
  <c r="AD14" i="10"/>
  <c r="AB14" i="10"/>
  <c r="AA14" i="10"/>
  <c r="Y14" i="10"/>
  <c r="X14" i="10"/>
  <c r="V14" i="10"/>
  <c r="U14" i="10"/>
  <c r="S14" i="10"/>
  <c r="R14" i="10"/>
  <c r="P14" i="10"/>
  <c r="O14" i="10"/>
  <c r="M14" i="10"/>
  <c r="L14" i="10"/>
  <c r="J14" i="10"/>
  <c r="I14" i="10"/>
  <c r="EO13" i="10"/>
  <c r="EN13" i="10"/>
  <c r="EL13" i="10"/>
  <c r="EK13" i="10"/>
  <c r="EI13" i="10"/>
  <c r="EH13" i="10"/>
  <c r="EF13" i="10"/>
  <c r="EE13" i="10"/>
  <c r="EC13" i="10"/>
  <c r="EB13" i="10"/>
  <c r="DZ13" i="10"/>
  <c r="DY13" i="10"/>
  <c r="DW13" i="10"/>
  <c r="DV13" i="10"/>
  <c r="DT13" i="10"/>
  <c r="DS13" i="10"/>
  <c r="DQ13" i="10"/>
  <c r="DP13" i="10"/>
  <c r="DN13" i="10"/>
  <c r="DM13" i="10"/>
  <c r="DK13" i="10"/>
  <c r="DJ13" i="10"/>
  <c r="DH13" i="10"/>
  <c r="DG13" i="10"/>
  <c r="DE13" i="10"/>
  <c r="DD13" i="10"/>
  <c r="DB13" i="10"/>
  <c r="DA13" i="10"/>
  <c r="CY13" i="10"/>
  <c r="CX13" i="10"/>
  <c r="CV13" i="10"/>
  <c r="CU13" i="10"/>
  <c r="CS13" i="10"/>
  <c r="CR13" i="10"/>
  <c r="CP13" i="10"/>
  <c r="CO13" i="10"/>
  <c r="CM13" i="10"/>
  <c r="CL13" i="10"/>
  <c r="CJ13" i="10"/>
  <c r="CI13" i="10"/>
  <c r="CG13" i="10"/>
  <c r="CF13" i="10"/>
  <c r="CD13" i="10"/>
  <c r="CC13" i="10"/>
  <c r="CA13" i="10"/>
  <c r="BZ13" i="10"/>
  <c r="BX13" i="10"/>
  <c r="BW13" i="10"/>
  <c r="BU13" i="10"/>
  <c r="BT13" i="10"/>
  <c r="BR13" i="10"/>
  <c r="BQ13" i="10"/>
  <c r="BO13" i="10"/>
  <c r="BN13" i="10"/>
  <c r="BL13" i="10"/>
  <c r="BK13" i="10"/>
  <c r="BI13" i="10"/>
  <c r="BH13" i="10"/>
  <c r="BF13" i="10"/>
  <c r="BE13" i="10"/>
  <c r="BC13" i="10"/>
  <c r="BB13" i="10"/>
  <c r="AZ13" i="10"/>
  <c r="AY13" i="10"/>
  <c r="AW13" i="10"/>
  <c r="AV13" i="10"/>
  <c r="AT13" i="10"/>
  <c r="AS13" i="10"/>
  <c r="AQ13" i="10"/>
  <c r="AP13" i="10"/>
  <c r="AN13" i="10"/>
  <c r="AM13" i="10"/>
  <c r="AK13" i="10"/>
  <c r="AJ13" i="10"/>
  <c r="AH13" i="10"/>
  <c r="AG13" i="10"/>
  <c r="AE13" i="10"/>
  <c r="AD13" i="10"/>
  <c r="AB13" i="10"/>
  <c r="AA13" i="10"/>
  <c r="Y13" i="10"/>
  <c r="X13" i="10"/>
  <c r="V13" i="10"/>
  <c r="U13" i="10"/>
  <c r="S13" i="10"/>
  <c r="R13" i="10"/>
  <c r="P13" i="10"/>
  <c r="O13" i="10"/>
  <c r="M13" i="10"/>
  <c r="L13" i="10"/>
  <c r="J13" i="10"/>
  <c r="I13" i="10"/>
  <c r="EO12" i="10"/>
  <c r="EN12" i="10"/>
  <c r="EL12" i="10"/>
  <c r="EK12" i="10"/>
  <c r="EI12" i="10"/>
  <c r="EH12" i="10"/>
  <c r="EF12" i="10"/>
  <c r="EE12" i="10"/>
  <c r="EC12" i="10"/>
  <c r="EB12" i="10"/>
  <c r="DZ12" i="10"/>
  <c r="DY12" i="10"/>
  <c r="DW12" i="10"/>
  <c r="DV12" i="10"/>
  <c r="DT12" i="10"/>
  <c r="DS12" i="10"/>
  <c r="DQ12" i="10"/>
  <c r="DP12" i="10"/>
  <c r="DN12" i="10"/>
  <c r="DM12" i="10"/>
  <c r="DK12" i="10"/>
  <c r="DJ12" i="10"/>
  <c r="DH12" i="10"/>
  <c r="DG12" i="10"/>
  <c r="DE12" i="10"/>
  <c r="DD12" i="10"/>
  <c r="DB12" i="10"/>
  <c r="DA12" i="10"/>
  <c r="CY12" i="10"/>
  <c r="CX12" i="10"/>
  <c r="CV12" i="10"/>
  <c r="CU12" i="10"/>
  <c r="CS12" i="10"/>
  <c r="CR12" i="10"/>
  <c r="CP12" i="10"/>
  <c r="CO12" i="10"/>
  <c r="CM12" i="10"/>
  <c r="CL12" i="10"/>
  <c r="CJ12" i="10"/>
  <c r="CI12" i="10"/>
  <c r="CG12" i="10"/>
  <c r="CF12" i="10"/>
  <c r="CD12" i="10"/>
  <c r="CC12" i="10"/>
  <c r="CA12" i="10"/>
  <c r="BZ12" i="10"/>
  <c r="BX12" i="10"/>
  <c r="BW12" i="10"/>
  <c r="BU12" i="10"/>
  <c r="BT12" i="10"/>
  <c r="BR12" i="10"/>
  <c r="BQ12" i="10"/>
  <c r="BO12" i="10"/>
  <c r="BN12" i="10"/>
  <c r="BL12" i="10"/>
  <c r="BK12" i="10"/>
  <c r="BI12" i="10"/>
  <c r="BH12" i="10"/>
  <c r="BF12" i="10"/>
  <c r="BE12" i="10"/>
  <c r="BC12" i="10"/>
  <c r="BB12" i="10"/>
  <c r="AZ12" i="10"/>
  <c r="AY12" i="10"/>
  <c r="AW12" i="10"/>
  <c r="AV12" i="10"/>
  <c r="AT12" i="10"/>
  <c r="AS12" i="10"/>
  <c r="AQ12" i="10"/>
  <c r="AP12" i="10"/>
  <c r="AN12" i="10"/>
  <c r="AM12" i="10"/>
  <c r="AK12" i="10"/>
  <c r="AJ12" i="10"/>
  <c r="AH12" i="10"/>
  <c r="AG12" i="10"/>
  <c r="AE12" i="10"/>
  <c r="AD12" i="10"/>
  <c r="AB12" i="10"/>
  <c r="AA12" i="10"/>
  <c r="Y12" i="10"/>
  <c r="X12" i="10"/>
  <c r="V12" i="10"/>
  <c r="U12" i="10"/>
  <c r="S12" i="10"/>
  <c r="R12" i="10"/>
  <c r="P12" i="10"/>
  <c r="O12" i="10"/>
  <c r="M12" i="10"/>
  <c r="L12" i="10"/>
  <c r="J12" i="10"/>
  <c r="I12" i="10"/>
  <c r="EO11" i="10"/>
  <c r="EN11" i="10"/>
  <c r="EL11" i="10"/>
  <c r="EK11" i="10"/>
  <c r="EI11" i="10"/>
  <c r="EH11" i="10"/>
  <c r="EF11" i="10"/>
  <c r="EE11" i="10"/>
  <c r="EC11" i="10"/>
  <c r="EB11" i="10"/>
  <c r="DZ11" i="10"/>
  <c r="DY11" i="10"/>
  <c r="DW11" i="10"/>
  <c r="DV11" i="10"/>
  <c r="DT11" i="10"/>
  <c r="DS11" i="10"/>
  <c r="DQ11" i="10"/>
  <c r="DP11" i="10"/>
  <c r="DN11" i="10"/>
  <c r="DM11" i="10"/>
  <c r="DK11" i="10"/>
  <c r="DJ11" i="10"/>
  <c r="DH11" i="10"/>
  <c r="DG11" i="10"/>
  <c r="DE11" i="10"/>
  <c r="DD11" i="10"/>
  <c r="DB11" i="10"/>
  <c r="DA11" i="10"/>
  <c r="CY11" i="10"/>
  <c r="CX11" i="10"/>
  <c r="CV11" i="10"/>
  <c r="CU11" i="10"/>
  <c r="CS11" i="10"/>
  <c r="CR11" i="10"/>
  <c r="CP11" i="10"/>
  <c r="CO11" i="10"/>
  <c r="CM11" i="10"/>
  <c r="CL11" i="10"/>
  <c r="CJ11" i="10"/>
  <c r="CI11" i="10"/>
  <c r="CG11" i="10"/>
  <c r="CF11" i="10"/>
  <c r="CD11" i="10"/>
  <c r="CC11" i="10"/>
  <c r="CA11" i="10"/>
  <c r="BZ11" i="10"/>
  <c r="BX11" i="10"/>
  <c r="BW11" i="10"/>
  <c r="BU11" i="10"/>
  <c r="BT11" i="10"/>
  <c r="BR11" i="10"/>
  <c r="BQ11" i="10"/>
  <c r="BO11" i="10"/>
  <c r="BN11" i="10"/>
  <c r="BL11" i="10"/>
  <c r="BK11" i="10"/>
  <c r="BI11" i="10"/>
  <c r="BH11" i="10"/>
  <c r="BF11" i="10"/>
  <c r="BE11" i="10"/>
  <c r="BC11" i="10"/>
  <c r="BB11" i="10"/>
  <c r="AZ11" i="10"/>
  <c r="AY11" i="10"/>
  <c r="AW11" i="10"/>
  <c r="AV11" i="10"/>
  <c r="AT11" i="10"/>
  <c r="AS11" i="10"/>
  <c r="AQ11" i="10"/>
  <c r="AP11" i="10"/>
  <c r="AN11" i="10"/>
  <c r="AM11" i="10"/>
  <c r="AK11" i="10"/>
  <c r="AJ11" i="10"/>
  <c r="AH11" i="10"/>
  <c r="AG11" i="10"/>
  <c r="AE11" i="10"/>
  <c r="AD11" i="10"/>
  <c r="AB11" i="10"/>
  <c r="AA11" i="10"/>
  <c r="Y11" i="10"/>
  <c r="X11" i="10"/>
  <c r="V11" i="10"/>
  <c r="U11" i="10"/>
  <c r="S11" i="10"/>
  <c r="R11" i="10"/>
  <c r="P11" i="10"/>
  <c r="O11" i="10"/>
  <c r="M11" i="10"/>
  <c r="L11" i="10"/>
  <c r="J11" i="10"/>
  <c r="I11" i="10"/>
  <c r="EO10" i="10"/>
  <c r="EN10" i="10"/>
  <c r="EL10" i="10"/>
  <c r="EK10" i="10"/>
  <c r="EI10" i="10"/>
  <c r="EH10" i="10"/>
  <c r="EF10" i="10"/>
  <c r="EE10" i="10"/>
  <c r="EC10" i="10"/>
  <c r="EB10" i="10"/>
  <c r="DZ10" i="10"/>
  <c r="DY10" i="10"/>
  <c r="DW10" i="10"/>
  <c r="DV10" i="10"/>
  <c r="DT10" i="10"/>
  <c r="DS10" i="10"/>
  <c r="DQ10" i="10"/>
  <c r="DP10" i="10"/>
  <c r="DN10" i="10"/>
  <c r="DM10" i="10"/>
  <c r="DK10" i="10"/>
  <c r="DJ10" i="10"/>
  <c r="DH10" i="10"/>
  <c r="DG10" i="10"/>
  <c r="DE10" i="10"/>
  <c r="DD10" i="10"/>
  <c r="DB10" i="10"/>
  <c r="DA10" i="10"/>
  <c r="CY10" i="10"/>
  <c r="CX10" i="10"/>
  <c r="CV10" i="10"/>
  <c r="CU10" i="10"/>
  <c r="CS10" i="10"/>
  <c r="CR10" i="10"/>
  <c r="CP10" i="10"/>
  <c r="CO10" i="10"/>
  <c r="CM10" i="10"/>
  <c r="CL10" i="10"/>
  <c r="CJ10" i="10"/>
  <c r="CI10" i="10"/>
  <c r="CG10" i="10"/>
  <c r="CF10" i="10"/>
  <c r="CD10" i="10"/>
  <c r="CC10" i="10"/>
  <c r="CA10" i="10"/>
  <c r="BZ10" i="10"/>
  <c r="BX10" i="10"/>
  <c r="BW10" i="10"/>
  <c r="BU10" i="10"/>
  <c r="BT10" i="10"/>
  <c r="BR10" i="10"/>
  <c r="BQ10" i="10"/>
  <c r="BO10" i="10"/>
  <c r="BN10" i="10"/>
  <c r="BL10" i="10"/>
  <c r="BK10" i="10"/>
  <c r="BI10" i="10"/>
  <c r="BH10" i="10"/>
  <c r="BF10" i="10"/>
  <c r="BE10" i="10"/>
  <c r="BC10" i="10"/>
  <c r="BB10" i="10"/>
  <c r="AZ10" i="10"/>
  <c r="AY10" i="10"/>
  <c r="AW10" i="10"/>
  <c r="AV10" i="10"/>
  <c r="AT10" i="10"/>
  <c r="AS10" i="10"/>
  <c r="AQ10" i="10"/>
  <c r="AP10" i="10"/>
  <c r="AN10" i="10"/>
  <c r="AM10" i="10"/>
  <c r="AK10" i="10"/>
  <c r="AJ10" i="10"/>
  <c r="AH10" i="10"/>
  <c r="AG10" i="10"/>
  <c r="AE10" i="10"/>
  <c r="AD10" i="10"/>
  <c r="AB10" i="10"/>
  <c r="AA10" i="10"/>
  <c r="Y10" i="10"/>
  <c r="X10" i="10"/>
  <c r="V10" i="10"/>
  <c r="U10" i="10"/>
  <c r="S10" i="10"/>
  <c r="R10" i="10"/>
  <c r="P10" i="10"/>
  <c r="O10" i="10"/>
  <c r="M10" i="10"/>
  <c r="L10" i="10"/>
  <c r="J10" i="10"/>
  <c r="I10" i="10"/>
  <c r="EO9" i="10"/>
  <c r="EN9" i="10"/>
  <c r="EL9" i="10"/>
  <c r="EK9" i="10"/>
  <c r="EI9" i="10"/>
  <c r="EH9" i="10"/>
  <c r="EF9" i="10"/>
  <c r="EE9" i="10"/>
  <c r="EC9" i="10"/>
  <c r="EB9" i="10"/>
  <c r="DZ9" i="10"/>
  <c r="DY9" i="10"/>
  <c r="DW9" i="10"/>
  <c r="DV9" i="10"/>
  <c r="DT9" i="10"/>
  <c r="DS9" i="10"/>
  <c r="DQ9" i="10"/>
  <c r="DP9" i="10"/>
  <c r="DN9" i="10"/>
  <c r="DM9" i="10"/>
  <c r="DK9" i="10"/>
  <c r="DJ9" i="10"/>
  <c r="DH9" i="10"/>
  <c r="DG9" i="10"/>
  <c r="DE9" i="10"/>
  <c r="DD9" i="10"/>
  <c r="DB9" i="10"/>
  <c r="DA9" i="10"/>
  <c r="CY9" i="10"/>
  <c r="CX9" i="10"/>
  <c r="CV9" i="10"/>
  <c r="CU9" i="10"/>
  <c r="CS9" i="10"/>
  <c r="CR9" i="10"/>
  <c r="CP9" i="10"/>
  <c r="CO9" i="10"/>
  <c r="CM9" i="10"/>
  <c r="CL9" i="10"/>
  <c r="CJ9" i="10"/>
  <c r="CI9" i="10"/>
  <c r="CG9" i="10"/>
  <c r="CF9" i="10"/>
  <c r="CD9" i="10"/>
  <c r="CC9" i="10"/>
  <c r="CA9" i="10"/>
  <c r="BZ9" i="10"/>
  <c r="BX9" i="10"/>
  <c r="BW9" i="10"/>
  <c r="BU9" i="10"/>
  <c r="BT9" i="10"/>
  <c r="BR9" i="10"/>
  <c r="BQ9" i="10"/>
  <c r="BO9" i="10"/>
  <c r="BN9" i="10"/>
  <c r="BL9" i="10"/>
  <c r="BK9" i="10"/>
  <c r="BI9" i="10"/>
  <c r="BH9" i="10"/>
  <c r="BF9" i="10"/>
  <c r="BE9" i="10"/>
  <c r="BC9" i="10"/>
  <c r="BB9" i="10"/>
  <c r="AZ9" i="10"/>
  <c r="AY9" i="10"/>
  <c r="AW9" i="10"/>
  <c r="AV9" i="10"/>
  <c r="AT9" i="10"/>
  <c r="AS9" i="10"/>
  <c r="AQ9" i="10"/>
  <c r="AP9" i="10"/>
  <c r="AN9" i="10"/>
  <c r="AM9" i="10"/>
  <c r="AK9" i="10"/>
  <c r="AJ9" i="10"/>
  <c r="AH9" i="10"/>
  <c r="AG9" i="10"/>
  <c r="AE9" i="10"/>
  <c r="AD9" i="10"/>
  <c r="AB9" i="10"/>
  <c r="AA9" i="10"/>
  <c r="Y9" i="10"/>
  <c r="X9" i="10"/>
  <c r="V9" i="10"/>
  <c r="U9" i="10"/>
  <c r="S9" i="10"/>
  <c r="R9" i="10"/>
  <c r="P9" i="10"/>
  <c r="O9" i="10"/>
  <c r="M9" i="10"/>
  <c r="L9" i="10"/>
  <c r="J9" i="10"/>
  <c r="I9" i="10"/>
  <c r="EO8" i="10"/>
  <c r="EN8" i="10"/>
  <c r="EL8" i="10"/>
  <c r="EK8" i="10"/>
  <c r="EI8" i="10"/>
  <c r="EH8" i="10"/>
  <c r="EF8" i="10"/>
  <c r="EE8" i="10"/>
  <c r="EC8" i="10"/>
  <c r="EB8" i="10"/>
  <c r="DZ8" i="10"/>
  <c r="DY8" i="10"/>
  <c r="DW8" i="10"/>
  <c r="DV8" i="10"/>
  <c r="DT8" i="10"/>
  <c r="DS8" i="10"/>
  <c r="DQ8" i="10"/>
  <c r="DP8" i="10"/>
  <c r="DN8" i="10"/>
  <c r="DM8" i="10"/>
  <c r="DK8" i="10"/>
  <c r="DJ8" i="10"/>
  <c r="DH8" i="10"/>
  <c r="DG8" i="10"/>
  <c r="DE8" i="10"/>
  <c r="DD8" i="10"/>
  <c r="DB8" i="10"/>
  <c r="DA8" i="10"/>
  <c r="CY8" i="10"/>
  <c r="CX8" i="10"/>
  <c r="CV8" i="10"/>
  <c r="CU8" i="10"/>
  <c r="CS8" i="10"/>
  <c r="CR8" i="10"/>
  <c r="CP8" i="10"/>
  <c r="CO8" i="10"/>
  <c r="CM8" i="10"/>
  <c r="CL8" i="10"/>
  <c r="CJ8" i="10"/>
  <c r="CI8" i="10"/>
  <c r="CG8" i="10"/>
  <c r="CF8" i="10"/>
  <c r="CD8" i="10"/>
  <c r="CC8" i="10"/>
  <c r="CA8" i="10"/>
  <c r="BZ8" i="10"/>
  <c r="BX8" i="10"/>
  <c r="BW8" i="10"/>
  <c r="BU8" i="10"/>
  <c r="BT8" i="10"/>
  <c r="BR8" i="10"/>
  <c r="BQ8" i="10"/>
  <c r="BO8" i="10"/>
  <c r="BN8" i="10"/>
  <c r="BL8" i="10"/>
  <c r="BK8" i="10"/>
  <c r="BI8" i="10"/>
  <c r="BH8" i="10"/>
  <c r="BF8" i="10"/>
  <c r="BE8" i="10"/>
  <c r="BC8" i="10"/>
  <c r="BB8" i="10"/>
  <c r="AZ8" i="10"/>
  <c r="AY8" i="10"/>
  <c r="AW8" i="10"/>
  <c r="AV8" i="10"/>
  <c r="AT8" i="10"/>
  <c r="AS8" i="10"/>
  <c r="AQ8" i="10"/>
  <c r="AP8" i="10"/>
  <c r="AN8" i="10"/>
  <c r="AM8" i="10"/>
  <c r="AK8" i="10"/>
  <c r="AJ8" i="10"/>
  <c r="AH8" i="10"/>
  <c r="AG8" i="10"/>
  <c r="AE8" i="10"/>
  <c r="AD8" i="10"/>
  <c r="AB8" i="10"/>
  <c r="AA8" i="10"/>
  <c r="Y8" i="10"/>
  <c r="X8" i="10"/>
  <c r="V8" i="10"/>
  <c r="U8" i="10"/>
  <c r="S8" i="10"/>
  <c r="R8" i="10"/>
  <c r="P8" i="10"/>
  <c r="O8" i="10"/>
  <c r="M8" i="10"/>
  <c r="L8" i="10"/>
  <c r="J8" i="10"/>
  <c r="I8" i="10"/>
  <c r="EO7" i="10"/>
  <c r="EN7" i="10"/>
  <c r="EL7" i="10"/>
  <c r="EK7" i="10"/>
  <c r="EI7" i="10"/>
  <c r="EH7" i="10"/>
  <c r="EF7" i="10"/>
  <c r="EE7" i="10"/>
  <c r="EC7" i="10"/>
  <c r="EB7" i="10"/>
  <c r="DZ7" i="10"/>
  <c r="DY7" i="10"/>
  <c r="DW7" i="10"/>
  <c r="DV7" i="10"/>
  <c r="DT7" i="10"/>
  <c r="DS7" i="10"/>
  <c r="DQ7" i="10"/>
  <c r="DP7" i="10"/>
  <c r="DN7" i="10"/>
  <c r="DM7" i="10"/>
  <c r="DK7" i="10"/>
  <c r="DJ7" i="10"/>
  <c r="DH7" i="10"/>
  <c r="DG7" i="10"/>
  <c r="DE7" i="10"/>
  <c r="DD7" i="10"/>
  <c r="DB7" i="10"/>
  <c r="DA7" i="10"/>
  <c r="CY7" i="10"/>
  <c r="CX7" i="10"/>
  <c r="CV7" i="10"/>
  <c r="CU7" i="10"/>
  <c r="CS7" i="10"/>
  <c r="CR7" i="10"/>
  <c r="CP7" i="10"/>
  <c r="CO7" i="10"/>
  <c r="CM7" i="10"/>
  <c r="CL7" i="10"/>
  <c r="CJ7" i="10"/>
  <c r="CI7" i="10"/>
  <c r="CG7" i="10"/>
  <c r="CF7" i="10"/>
  <c r="CD7" i="10"/>
  <c r="CC7" i="10"/>
  <c r="CA7" i="10"/>
  <c r="BZ7" i="10"/>
  <c r="BX7" i="10"/>
  <c r="BW7" i="10"/>
  <c r="BU7" i="10"/>
  <c r="BT7" i="10"/>
  <c r="BR7" i="10"/>
  <c r="BQ7" i="10"/>
  <c r="BO7" i="10"/>
  <c r="BN7" i="10"/>
  <c r="BL7" i="10"/>
  <c r="BK7" i="10"/>
  <c r="BI7" i="10"/>
  <c r="BH7" i="10"/>
  <c r="BF7" i="10"/>
  <c r="BE7" i="10"/>
  <c r="BC7" i="10"/>
  <c r="BB7" i="10"/>
  <c r="AZ7" i="10"/>
  <c r="AY7" i="10"/>
  <c r="AW7" i="10"/>
  <c r="AV7" i="10"/>
  <c r="AT7" i="10"/>
  <c r="AS7" i="10"/>
  <c r="AQ7" i="10"/>
  <c r="AP7" i="10"/>
  <c r="AN7" i="10"/>
  <c r="AM7" i="10"/>
  <c r="AK7" i="10"/>
  <c r="AJ7" i="10"/>
  <c r="AH7" i="10"/>
  <c r="AG7" i="10"/>
  <c r="AE7" i="10"/>
  <c r="AD7" i="10"/>
  <c r="AB7" i="10"/>
  <c r="AA7" i="10"/>
  <c r="Y7" i="10"/>
  <c r="X7" i="10"/>
  <c r="V7" i="10"/>
  <c r="U7" i="10"/>
  <c r="S7" i="10"/>
  <c r="R7" i="10"/>
  <c r="P7" i="10"/>
  <c r="O7" i="10"/>
  <c r="M7" i="10"/>
  <c r="L7" i="10"/>
  <c r="J7" i="10"/>
  <c r="I7" i="10"/>
  <c r="EO6" i="10"/>
  <c r="EN6" i="10"/>
  <c r="EL6" i="10"/>
  <c r="EK6" i="10"/>
  <c r="EI6" i="10"/>
  <c r="EH6" i="10"/>
  <c r="EF6" i="10"/>
  <c r="EE6" i="10"/>
  <c r="EC6" i="10"/>
  <c r="EB6" i="10"/>
  <c r="DZ6" i="10"/>
  <c r="DY6" i="10"/>
  <c r="DW6" i="10"/>
  <c r="DV6" i="10"/>
  <c r="DT6" i="10"/>
  <c r="DS6" i="10"/>
  <c r="DQ6" i="10"/>
  <c r="DP6" i="10"/>
  <c r="DN6" i="10"/>
  <c r="DM6" i="10"/>
  <c r="DK6" i="10"/>
  <c r="DJ6" i="10"/>
  <c r="DH6" i="10"/>
  <c r="DG6" i="10"/>
  <c r="DE6" i="10"/>
  <c r="DD6" i="10"/>
  <c r="DB6" i="10"/>
  <c r="DA6" i="10"/>
  <c r="CY6" i="10"/>
  <c r="CX6" i="10"/>
  <c r="CV6" i="10"/>
  <c r="CU6" i="10"/>
  <c r="CS6" i="10"/>
  <c r="CR6" i="10"/>
  <c r="CP6" i="10"/>
  <c r="CO6" i="10"/>
  <c r="CM6" i="10"/>
  <c r="CL6" i="10"/>
  <c r="CJ6" i="10"/>
  <c r="CI6" i="10"/>
  <c r="CG6" i="10"/>
  <c r="CF6" i="10"/>
  <c r="CD6" i="10"/>
  <c r="CC6" i="10"/>
  <c r="CA6" i="10"/>
  <c r="BZ6" i="10"/>
  <c r="BX6" i="10"/>
  <c r="BW6" i="10"/>
  <c r="BU6" i="10"/>
  <c r="BT6" i="10"/>
  <c r="BR6" i="10"/>
  <c r="BQ6" i="10"/>
  <c r="BO6" i="10"/>
  <c r="BN6" i="10"/>
  <c r="BL6" i="10"/>
  <c r="BK6" i="10"/>
  <c r="BI6" i="10"/>
  <c r="BH6" i="10"/>
  <c r="BF6" i="10"/>
  <c r="BE6" i="10"/>
  <c r="BC6" i="10"/>
  <c r="BB6" i="10"/>
  <c r="AZ6" i="10"/>
  <c r="AY6" i="10"/>
  <c r="AW6" i="10"/>
  <c r="AV6" i="10"/>
  <c r="AT6" i="10"/>
  <c r="AS6" i="10"/>
  <c r="AQ6" i="10"/>
  <c r="AP6" i="10"/>
  <c r="AN6" i="10"/>
  <c r="AM6" i="10"/>
  <c r="AK6" i="10"/>
  <c r="AJ6" i="10"/>
  <c r="AH6" i="10"/>
  <c r="AG6" i="10"/>
  <c r="AE6" i="10"/>
  <c r="AD6" i="10"/>
  <c r="AB6" i="10"/>
  <c r="AA6" i="10"/>
  <c r="Y6" i="10"/>
  <c r="X6" i="10"/>
  <c r="V6" i="10"/>
  <c r="U6" i="10"/>
  <c r="S6" i="10"/>
  <c r="R6" i="10"/>
  <c r="P6" i="10"/>
  <c r="O6" i="10"/>
  <c r="M6" i="10"/>
  <c r="L6" i="10"/>
  <c r="J6" i="10"/>
  <c r="I6" i="10"/>
  <c r="EM4" i="10"/>
  <c r="EJ4" i="10"/>
  <c r="EG4" i="10"/>
  <c r="ED4" i="10"/>
  <c r="EA4" i="10"/>
  <c r="DX4" i="10"/>
  <c r="DU4" i="10"/>
  <c r="DR4" i="10"/>
  <c r="DO4" i="10"/>
  <c r="DL4" i="10"/>
  <c r="DI4" i="10"/>
  <c r="DF4" i="10"/>
  <c r="DC4" i="10"/>
  <c r="CZ4" i="10"/>
  <c r="CW4" i="10"/>
  <c r="CT4" i="10"/>
  <c r="CQ4" i="10"/>
  <c r="CN4" i="10"/>
  <c r="CK4" i="10"/>
  <c r="CH4" i="10"/>
  <c r="CE4" i="10"/>
  <c r="CB4" i="10"/>
  <c r="BY4" i="10"/>
  <c r="BV4" i="10"/>
  <c r="BS4" i="10"/>
  <c r="BP4" i="10"/>
  <c r="BM4" i="10"/>
  <c r="BJ4" i="10"/>
  <c r="BG4" i="10"/>
  <c r="BD4" i="10"/>
  <c r="BA4" i="10"/>
  <c r="AX4" i="10"/>
  <c r="AU4" i="10"/>
  <c r="AR4" i="10"/>
  <c r="AO4" i="10"/>
  <c r="AL4" i="10"/>
  <c r="AI4" i="10"/>
  <c r="AF4" i="10"/>
  <c r="AC4" i="10"/>
  <c r="Z4" i="10"/>
  <c r="W4" i="10"/>
  <c r="T4" i="10"/>
  <c r="Q4" i="10"/>
  <c r="N4" i="10"/>
  <c r="K4" i="10"/>
  <c r="H4" i="10"/>
  <c r="EO55" i="8"/>
  <c r="EN55" i="8"/>
  <c r="EL55" i="8"/>
  <c r="EK55" i="8"/>
  <c r="EI55" i="8"/>
  <c r="EH55" i="8"/>
  <c r="EF55" i="8"/>
  <c r="EE55" i="8"/>
  <c r="EC55" i="8"/>
  <c r="EB55" i="8"/>
  <c r="DZ55" i="8"/>
  <c r="DY55" i="8"/>
  <c r="DW55" i="8"/>
  <c r="DV55" i="8"/>
  <c r="DT55" i="8"/>
  <c r="DS55" i="8"/>
  <c r="DQ55" i="8"/>
  <c r="DP55" i="8"/>
  <c r="DN55" i="8"/>
  <c r="DM55" i="8"/>
  <c r="DK55" i="8"/>
  <c r="DJ55" i="8"/>
  <c r="DH55" i="8"/>
  <c r="DG55" i="8"/>
  <c r="DE55" i="8"/>
  <c r="DD55" i="8"/>
  <c r="DB55" i="8"/>
  <c r="DA55" i="8"/>
  <c r="CY55" i="8"/>
  <c r="CX55" i="8"/>
  <c r="CV55" i="8"/>
  <c r="CU55" i="8"/>
  <c r="CS55" i="8"/>
  <c r="CR55" i="8"/>
  <c r="CP55" i="8"/>
  <c r="CO55" i="8"/>
  <c r="CM55" i="8"/>
  <c r="CL55" i="8"/>
  <c r="CJ55" i="8"/>
  <c r="CI55" i="8"/>
  <c r="CG55" i="8"/>
  <c r="CF55" i="8"/>
  <c r="CD55" i="8"/>
  <c r="CC55" i="8"/>
  <c r="CA55" i="8"/>
  <c r="BZ55" i="8"/>
  <c r="BX55" i="8"/>
  <c r="BW55" i="8"/>
  <c r="BU55" i="8"/>
  <c r="BT55" i="8"/>
  <c r="BR55" i="8"/>
  <c r="BQ55" i="8"/>
  <c r="BO55" i="8"/>
  <c r="BN55" i="8"/>
  <c r="BL55" i="8"/>
  <c r="BK55" i="8"/>
  <c r="BI55" i="8"/>
  <c r="BH55" i="8"/>
  <c r="BF55" i="8"/>
  <c r="BE55" i="8"/>
  <c r="BC55" i="8"/>
  <c r="BB55" i="8"/>
  <c r="AZ55" i="8"/>
  <c r="AY55" i="8"/>
  <c r="AW55" i="8"/>
  <c r="AV55" i="8"/>
  <c r="AT55" i="8"/>
  <c r="AS55" i="8"/>
  <c r="AQ55" i="8"/>
  <c r="AP55" i="8"/>
  <c r="AN55" i="8"/>
  <c r="AM55" i="8"/>
  <c r="AK55" i="8"/>
  <c r="AJ55" i="8"/>
  <c r="AH55" i="8"/>
  <c r="AG55" i="8"/>
  <c r="AE55" i="8"/>
  <c r="AD55" i="8"/>
  <c r="AB55" i="8"/>
  <c r="AA55" i="8"/>
  <c r="Y55" i="8"/>
  <c r="X55" i="8"/>
  <c r="V55" i="8"/>
  <c r="U55" i="8"/>
  <c r="S55" i="8"/>
  <c r="R55" i="8"/>
  <c r="P55" i="8"/>
  <c r="O55" i="8"/>
  <c r="M55" i="8"/>
  <c r="L55" i="8"/>
  <c r="J55" i="8"/>
  <c r="I55" i="8"/>
  <c r="EO54" i="8"/>
  <c r="EN54" i="8"/>
  <c r="EL54" i="8"/>
  <c r="EK54" i="8"/>
  <c r="EI54" i="8"/>
  <c r="EH54" i="8"/>
  <c r="EF54" i="8"/>
  <c r="EE54" i="8"/>
  <c r="EC54" i="8"/>
  <c r="EB54" i="8"/>
  <c r="DZ54" i="8"/>
  <c r="DY54" i="8"/>
  <c r="DW54" i="8"/>
  <c r="DV54" i="8"/>
  <c r="DT54" i="8"/>
  <c r="DS54" i="8"/>
  <c r="DQ54" i="8"/>
  <c r="DP54" i="8"/>
  <c r="DN54" i="8"/>
  <c r="DM54" i="8"/>
  <c r="DK54" i="8"/>
  <c r="DJ54" i="8"/>
  <c r="DH54" i="8"/>
  <c r="DG54" i="8"/>
  <c r="DE54" i="8"/>
  <c r="DD54" i="8"/>
  <c r="DB54" i="8"/>
  <c r="DA54" i="8"/>
  <c r="CY54" i="8"/>
  <c r="CX54" i="8"/>
  <c r="CV54" i="8"/>
  <c r="CU54" i="8"/>
  <c r="CS54" i="8"/>
  <c r="CR54" i="8"/>
  <c r="CP54" i="8"/>
  <c r="CO54" i="8"/>
  <c r="CM54" i="8"/>
  <c r="CL54" i="8"/>
  <c r="CJ54" i="8"/>
  <c r="CI54" i="8"/>
  <c r="CG54" i="8"/>
  <c r="CF54" i="8"/>
  <c r="CD54" i="8"/>
  <c r="CC54" i="8"/>
  <c r="CA54" i="8"/>
  <c r="BZ54" i="8"/>
  <c r="BX54" i="8"/>
  <c r="BW54" i="8"/>
  <c r="BU54" i="8"/>
  <c r="BT54" i="8"/>
  <c r="BR54" i="8"/>
  <c r="BQ54" i="8"/>
  <c r="BO54" i="8"/>
  <c r="BN54" i="8"/>
  <c r="BL54" i="8"/>
  <c r="BK54" i="8"/>
  <c r="BI54" i="8"/>
  <c r="BH54" i="8"/>
  <c r="BF54" i="8"/>
  <c r="BE54" i="8"/>
  <c r="BC54" i="8"/>
  <c r="BB54" i="8"/>
  <c r="AZ54" i="8"/>
  <c r="AY54" i="8"/>
  <c r="AW54" i="8"/>
  <c r="AV54" i="8"/>
  <c r="AT54" i="8"/>
  <c r="AS54" i="8"/>
  <c r="AQ54" i="8"/>
  <c r="AP54" i="8"/>
  <c r="AN54" i="8"/>
  <c r="AM54" i="8"/>
  <c r="AK54" i="8"/>
  <c r="AJ54" i="8"/>
  <c r="AH54" i="8"/>
  <c r="AG54" i="8"/>
  <c r="AE54" i="8"/>
  <c r="AD54" i="8"/>
  <c r="AB54" i="8"/>
  <c r="AA54" i="8"/>
  <c r="Y54" i="8"/>
  <c r="X54" i="8"/>
  <c r="V54" i="8"/>
  <c r="U54" i="8"/>
  <c r="S54" i="8"/>
  <c r="R54" i="8"/>
  <c r="P54" i="8"/>
  <c r="O54" i="8"/>
  <c r="M54" i="8"/>
  <c r="L54" i="8"/>
  <c r="J54" i="8"/>
  <c r="I54" i="8"/>
  <c r="EO53" i="8"/>
  <c r="EN53" i="8"/>
  <c r="EL53" i="8"/>
  <c r="EK53" i="8"/>
  <c r="EI53" i="8"/>
  <c r="EH53" i="8"/>
  <c r="EF53" i="8"/>
  <c r="EE53" i="8"/>
  <c r="EC53" i="8"/>
  <c r="EB53" i="8"/>
  <c r="DZ53" i="8"/>
  <c r="DY53" i="8"/>
  <c r="DW53" i="8"/>
  <c r="DV53" i="8"/>
  <c r="DT53" i="8"/>
  <c r="DS53" i="8"/>
  <c r="DQ53" i="8"/>
  <c r="DP53" i="8"/>
  <c r="DN53" i="8"/>
  <c r="DM53" i="8"/>
  <c r="DK53" i="8"/>
  <c r="DJ53" i="8"/>
  <c r="DH53" i="8"/>
  <c r="DG53" i="8"/>
  <c r="DE53" i="8"/>
  <c r="DD53" i="8"/>
  <c r="DB53" i="8"/>
  <c r="DA53" i="8"/>
  <c r="CY53" i="8"/>
  <c r="CX53" i="8"/>
  <c r="CV53" i="8"/>
  <c r="CU53" i="8"/>
  <c r="CS53" i="8"/>
  <c r="CR53" i="8"/>
  <c r="CP53" i="8"/>
  <c r="CO53" i="8"/>
  <c r="CM53" i="8"/>
  <c r="CL53" i="8"/>
  <c r="CJ53" i="8"/>
  <c r="CI53" i="8"/>
  <c r="CG53" i="8"/>
  <c r="CF53" i="8"/>
  <c r="CD53" i="8"/>
  <c r="CC53" i="8"/>
  <c r="CA53" i="8"/>
  <c r="BZ53" i="8"/>
  <c r="BX53" i="8"/>
  <c r="BW53" i="8"/>
  <c r="BU53" i="8"/>
  <c r="BT53" i="8"/>
  <c r="BR53" i="8"/>
  <c r="BQ53" i="8"/>
  <c r="BO53" i="8"/>
  <c r="BN53" i="8"/>
  <c r="BL53" i="8"/>
  <c r="BK53" i="8"/>
  <c r="BI53" i="8"/>
  <c r="BH53" i="8"/>
  <c r="BF53" i="8"/>
  <c r="BE53" i="8"/>
  <c r="BC53" i="8"/>
  <c r="BB53" i="8"/>
  <c r="AZ53" i="8"/>
  <c r="AY53" i="8"/>
  <c r="AW53" i="8"/>
  <c r="AV53" i="8"/>
  <c r="AT53" i="8"/>
  <c r="AS53" i="8"/>
  <c r="AQ53" i="8"/>
  <c r="AP53" i="8"/>
  <c r="AN53" i="8"/>
  <c r="AM53" i="8"/>
  <c r="AK53" i="8"/>
  <c r="AJ53" i="8"/>
  <c r="AH53" i="8"/>
  <c r="AG53" i="8"/>
  <c r="AE53" i="8"/>
  <c r="AD53" i="8"/>
  <c r="AB53" i="8"/>
  <c r="AA53" i="8"/>
  <c r="Y53" i="8"/>
  <c r="X53" i="8"/>
  <c r="V53" i="8"/>
  <c r="U53" i="8"/>
  <c r="S53" i="8"/>
  <c r="R53" i="8"/>
  <c r="P53" i="8"/>
  <c r="O53" i="8"/>
  <c r="M53" i="8"/>
  <c r="L53" i="8"/>
  <c r="J53" i="8"/>
  <c r="I53" i="8"/>
  <c r="EO52" i="8"/>
  <c r="EN52" i="8"/>
  <c r="EL52" i="8"/>
  <c r="EK52" i="8"/>
  <c r="EI52" i="8"/>
  <c r="EH52" i="8"/>
  <c r="EF52" i="8"/>
  <c r="EE52" i="8"/>
  <c r="EC52" i="8"/>
  <c r="EB52" i="8"/>
  <c r="DZ52" i="8"/>
  <c r="DY52" i="8"/>
  <c r="DW52" i="8"/>
  <c r="DV52" i="8"/>
  <c r="DT52" i="8"/>
  <c r="DS52" i="8"/>
  <c r="DQ52" i="8"/>
  <c r="DP52" i="8"/>
  <c r="DN52" i="8"/>
  <c r="DM52" i="8"/>
  <c r="DK52" i="8"/>
  <c r="DJ52" i="8"/>
  <c r="DH52" i="8"/>
  <c r="DG52" i="8"/>
  <c r="DE52" i="8"/>
  <c r="DD52" i="8"/>
  <c r="DB52" i="8"/>
  <c r="DA52" i="8"/>
  <c r="CY52" i="8"/>
  <c r="CX52" i="8"/>
  <c r="CV52" i="8"/>
  <c r="CU52" i="8"/>
  <c r="CS52" i="8"/>
  <c r="CR52" i="8"/>
  <c r="CP52" i="8"/>
  <c r="CO52" i="8"/>
  <c r="CM52" i="8"/>
  <c r="CL52" i="8"/>
  <c r="CJ52" i="8"/>
  <c r="CI52" i="8"/>
  <c r="CG52" i="8"/>
  <c r="CF52" i="8"/>
  <c r="CD52" i="8"/>
  <c r="CC52" i="8"/>
  <c r="CA52" i="8"/>
  <c r="BZ52" i="8"/>
  <c r="BX52" i="8"/>
  <c r="BW52" i="8"/>
  <c r="BU52" i="8"/>
  <c r="BT52" i="8"/>
  <c r="BR52" i="8"/>
  <c r="BQ52" i="8"/>
  <c r="BO52" i="8"/>
  <c r="BN52" i="8"/>
  <c r="BL52" i="8"/>
  <c r="BK52" i="8"/>
  <c r="BI52" i="8"/>
  <c r="BH52" i="8"/>
  <c r="BF52" i="8"/>
  <c r="BE52" i="8"/>
  <c r="BC52" i="8"/>
  <c r="BB52" i="8"/>
  <c r="AZ52" i="8"/>
  <c r="AY52" i="8"/>
  <c r="AW52" i="8"/>
  <c r="AV52" i="8"/>
  <c r="AT52" i="8"/>
  <c r="AS52" i="8"/>
  <c r="AQ52" i="8"/>
  <c r="AP52" i="8"/>
  <c r="AN52" i="8"/>
  <c r="AM52" i="8"/>
  <c r="AK52" i="8"/>
  <c r="AJ52" i="8"/>
  <c r="AH52" i="8"/>
  <c r="AG52" i="8"/>
  <c r="AE52" i="8"/>
  <c r="AD52" i="8"/>
  <c r="AB52" i="8"/>
  <c r="AA52" i="8"/>
  <c r="Y52" i="8"/>
  <c r="X52" i="8"/>
  <c r="V52" i="8"/>
  <c r="U52" i="8"/>
  <c r="S52" i="8"/>
  <c r="R52" i="8"/>
  <c r="P52" i="8"/>
  <c r="O52" i="8"/>
  <c r="M52" i="8"/>
  <c r="L52" i="8"/>
  <c r="J52" i="8"/>
  <c r="I52" i="8"/>
  <c r="EO51" i="8"/>
  <c r="EN51" i="8"/>
  <c r="EL51" i="8"/>
  <c r="EK51" i="8"/>
  <c r="EI51" i="8"/>
  <c r="EH51" i="8"/>
  <c r="EF51" i="8"/>
  <c r="EE51" i="8"/>
  <c r="EC51" i="8"/>
  <c r="EB51" i="8"/>
  <c r="DZ51" i="8"/>
  <c r="DY51" i="8"/>
  <c r="DW51" i="8"/>
  <c r="DV51" i="8"/>
  <c r="DT51" i="8"/>
  <c r="DS51" i="8"/>
  <c r="DQ51" i="8"/>
  <c r="DP51" i="8"/>
  <c r="DN51" i="8"/>
  <c r="DM51" i="8"/>
  <c r="DK51" i="8"/>
  <c r="DJ51" i="8"/>
  <c r="DH51" i="8"/>
  <c r="DG51" i="8"/>
  <c r="DE51" i="8"/>
  <c r="DD51" i="8"/>
  <c r="DB51" i="8"/>
  <c r="DA51" i="8"/>
  <c r="CY51" i="8"/>
  <c r="CX51" i="8"/>
  <c r="CV51" i="8"/>
  <c r="CU51" i="8"/>
  <c r="CS51" i="8"/>
  <c r="CR51" i="8"/>
  <c r="CP51" i="8"/>
  <c r="CO51" i="8"/>
  <c r="CM51" i="8"/>
  <c r="CL51" i="8"/>
  <c r="CJ51" i="8"/>
  <c r="CI51" i="8"/>
  <c r="CG51" i="8"/>
  <c r="CF51" i="8"/>
  <c r="CD51" i="8"/>
  <c r="CC51" i="8"/>
  <c r="CA51" i="8"/>
  <c r="BZ51" i="8"/>
  <c r="BX51" i="8"/>
  <c r="BW51" i="8"/>
  <c r="BU51" i="8"/>
  <c r="BT51" i="8"/>
  <c r="BR51" i="8"/>
  <c r="BQ51" i="8"/>
  <c r="BO51" i="8"/>
  <c r="BN51" i="8"/>
  <c r="BL51" i="8"/>
  <c r="BK51" i="8"/>
  <c r="BI51" i="8"/>
  <c r="BH51" i="8"/>
  <c r="BF51" i="8"/>
  <c r="BE51" i="8"/>
  <c r="BC51" i="8"/>
  <c r="BB51" i="8"/>
  <c r="AZ51" i="8"/>
  <c r="AY51" i="8"/>
  <c r="AW51" i="8"/>
  <c r="AV51" i="8"/>
  <c r="AT51" i="8"/>
  <c r="AS51" i="8"/>
  <c r="AQ51" i="8"/>
  <c r="AP51" i="8"/>
  <c r="AN51" i="8"/>
  <c r="AM51" i="8"/>
  <c r="AK51" i="8"/>
  <c r="AJ51" i="8"/>
  <c r="AH51" i="8"/>
  <c r="AG51" i="8"/>
  <c r="AE51" i="8"/>
  <c r="AD51" i="8"/>
  <c r="AB51" i="8"/>
  <c r="AA51" i="8"/>
  <c r="Y51" i="8"/>
  <c r="X51" i="8"/>
  <c r="V51" i="8"/>
  <c r="U51" i="8"/>
  <c r="S51" i="8"/>
  <c r="R51" i="8"/>
  <c r="P51" i="8"/>
  <c r="O51" i="8"/>
  <c r="M51" i="8"/>
  <c r="L51" i="8"/>
  <c r="J51" i="8"/>
  <c r="I51" i="8"/>
  <c r="EO50" i="8"/>
  <c r="EN50" i="8"/>
  <c r="EL50" i="8"/>
  <c r="EK50" i="8"/>
  <c r="EI50" i="8"/>
  <c r="EH50" i="8"/>
  <c r="EF50" i="8"/>
  <c r="EE50" i="8"/>
  <c r="EC50" i="8"/>
  <c r="EB50" i="8"/>
  <c r="DZ50" i="8"/>
  <c r="DY50" i="8"/>
  <c r="DW50" i="8"/>
  <c r="DV50" i="8"/>
  <c r="DT50" i="8"/>
  <c r="DS50" i="8"/>
  <c r="DQ50" i="8"/>
  <c r="DP50" i="8"/>
  <c r="DN50" i="8"/>
  <c r="DM50" i="8"/>
  <c r="DK50" i="8"/>
  <c r="DJ50" i="8"/>
  <c r="DH50" i="8"/>
  <c r="DG50" i="8"/>
  <c r="DE50" i="8"/>
  <c r="DD50" i="8"/>
  <c r="DB50" i="8"/>
  <c r="DA50" i="8"/>
  <c r="CY50" i="8"/>
  <c r="CX50" i="8"/>
  <c r="CV50" i="8"/>
  <c r="CU50" i="8"/>
  <c r="CS50" i="8"/>
  <c r="CR50" i="8"/>
  <c r="CP50" i="8"/>
  <c r="CO50" i="8"/>
  <c r="CM50" i="8"/>
  <c r="CL50" i="8"/>
  <c r="CJ50" i="8"/>
  <c r="CI50" i="8"/>
  <c r="CG50" i="8"/>
  <c r="CF50" i="8"/>
  <c r="CD50" i="8"/>
  <c r="CC50" i="8"/>
  <c r="CA50" i="8"/>
  <c r="BZ50" i="8"/>
  <c r="BX50" i="8"/>
  <c r="BW50" i="8"/>
  <c r="BU50" i="8"/>
  <c r="BT50" i="8"/>
  <c r="BR50" i="8"/>
  <c r="BQ50" i="8"/>
  <c r="BO50" i="8"/>
  <c r="BN50" i="8"/>
  <c r="BL50" i="8"/>
  <c r="BK50" i="8"/>
  <c r="BI50" i="8"/>
  <c r="BH50" i="8"/>
  <c r="BF50" i="8"/>
  <c r="BE50" i="8"/>
  <c r="BC50" i="8"/>
  <c r="BB50" i="8"/>
  <c r="AZ50" i="8"/>
  <c r="AY50" i="8"/>
  <c r="AW50" i="8"/>
  <c r="AV50" i="8"/>
  <c r="AT50" i="8"/>
  <c r="AS50" i="8"/>
  <c r="AQ50" i="8"/>
  <c r="AP50" i="8"/>
  <c r="AN50" i="8"/>
  <c r="AM50" i="8"/>
  <c r="AK50" i="8"/>
  <c r="AJ50" i="8"/>
  <c r="AH50" i="8"/>
  <c r="AG50" i="8"/>
  <c r="AE50" i="8"/>
  <c r="AD50" i="8"/>
  <c r="AB50" i="8"/>
  <c r="AA50" i="8"/>
  <c r="Y50" i="8"/>
  <c r="X50" i="8"/>
  <c r="V50" i="8"/>
  <c r="U50" i="8"/>
  <c r="S50" i="8"/>
  <c r="R50" i="8"/>
  <c r="P50" i="8"/>
  <c r="O50" i="8"/>
  <c r="M50" i="8"/>
  <c r="L50" i="8"/>
  <c r="J50" i="8"/>
  <c r="I50" i="8"/>
  <c r="EO49" i="8"/>
  <c r="EN49" i="8"/>
  <c r="EL49" i="8"/>
  <c r="EK49" i="8"/>
  <c r="EI49" i="8"/>
  <c r="EH49" i="8"/>
  <c r="EF49" i="8"/>
  <c r="EE49" i="8"/>
  <c r="EC49" i="8"/>
  <c r="EB49" i="8"/>
  <c r="DZ49" i="8"/>
  <c r="DY49" i="8"/>
  <c r="DW49" i="8"/>
  <c r="DV49" i="8"/>
  <c r="DT49" i="8"/>
  <c r="DS49" i="8"/>
  <c r="DQ49" i="8"/>
  <c r="DP49" i="8"/>
  <c r="DN49" i="8"/>
  <c r="DM49" i="8"/>
  <c r="DK49" i="8"/>
  <c r="DJ49" i="8"/>
  <c r="DH49" i="8"/>
  <c r="DG49" i="8"/>
  <c r="DE49" i="8"/>
  <c r="DD49" i="8"/>
  <c r="DB49" i="8"/>
  <c r="DA49" i="8"/>
  <c r="CY49" i="8"/>
  <c r="CX49" i="8"/>
  <c r="CV49" i="8"/>
  <c r="CU49" i="8"/>
  <c r="CS49" i="8"/>
  <c r="CR49" i="8"/>
  <c r="CP49" i="8"/>
  <c r="CO49" i="8"/>
  <c r="CM49" i="8"/>
  <c r="CL49" i="8"/>
  <c r="CJ49" i="8"/>
  <c r="CI49" i="8"/>
  <c r="CG49" i="8"/>
  <c r="CF49" i="8"/>
  <c r="CD49" i="8"/>
  <c r="CC49" i="8"/>
  <c r="CA49" i="8"/>
  <c r="BZ49" i="8"/>
  <c r="BX49" i="8"/>
  <c r="BW49" i="8"/>
  <c r="BU49" i="8"/>
  <c r="BT49" i="8"/>
  <c r="BR49" i="8"/>
  <c r="BQ49" i="8"/>
  <c r="BO49" i="8"/>
  <c r="BN49" i="8"/>
  <c r="BL49" i="8"/>
  <c r="BK49" i="8"/>
  <c r="BI49" i="8"/>
  <c r="BH49" i="8"/>
  <c r="BF49" i="8"/>
  <c r="BE49" i="8"/>
  <c r="BC49" i="8"/>
  <c r="BB49" i="8"/>
  <c r="AZ49" i="8"/>
  <c r="AY49" i="8"/>
  <c r="AW49" i="8"/>
  <c r="AV49" i="8"/>
  <c r="AT49" i="8"/>
  <c r="AS49" i="8"/>
  <c r="AQ49" i="8"/>
  <c r="AP49" i="8"/>
  <c r="AN49" i="8"/>
  <c r="AM49" i="8"/>
  <c r="AK49" i="8"/>
  <c r="AJ49" i="8"/>
  <c r="AH49" i="8"/>
  <c r="AG49" i="8"/>
  <c r="AE49" i="8"/>
  <c r="AD49" i="8"/>
  <c r="AB49" i="8"/>
  <c r="AA49" i="8"/>
  <c r="Y49" i="8"/>
  <c r="X49" i="8"/>
  <c r="V49" i="8"/>
  <c r="U49" i="8"/>
  <c r="S49" i="8"/>
  <c r="R49" i="8"/>
  <c r="P49" i="8"/>
  <c r="O49" i="8"/>
  <c r="M49" i="8"/>
  <c r="L49" i="8"/>
  <c r="J49" i="8"/>
  <c r="I49" i="8"/>
  <c r="EO48" i="8"/>
  <c r="EN48" i="8"/>
  <c r="EL48" i="8"/>
  <c r="EK48" i="8"/>
  <c r="EI48" i="8"/>
  <c r="EH48" i="8"/>
  <c r="EF48" i="8"/>
  <c r="EE48" i="8"/>
  <c r="EC48" i="8"/>
  <c r="EB48" i="8"/>
  <c r="DZ48" i="8"/>
  <c r="DY48" i="8"/>
  <c r="DW48" i="8"/>
  <c r="DV48" i="8"/>
  <c r="DT48" i="8"/>
  <c r="DS48" i="8"/>
  <c r="DQ48" i="8"/>
  <c r="DP48" i="8"/>
  <c r="DN48" i="8"/>
  <c r="DM48" i="8"/>
  <c r="DK48" i="8"/>
  <c r="DJ48" i="8"/>
  <c r="DH48" i="8"/>
  <c r="DG48" i="8"/>
  <c r="DE48" i="8"/>
  <c r="DD48" i="8"/>
  <c r="DB48" i="8"/>
  <c r="DA48" i="8"/>
  <c r="CY48" i="8"/>
  <c r="CX48" i="8"/>
  <c r="CV48" i="8"/>
  <c r="CU48" i="8"/>
  <c r="CS48" i="8"/>
  <c r="CR48" i="8"/>
  <c r="CP48" i="8"/>
  <c r="CO48" i="8"/>
  <c r="CM48" i="8"/>
  <c r="CL48" i="8"/>
  <c r="CJ48" i="8"/>
  <c r="CI48" i="8"/>
  <c r="CG48" i="8"/>
  <c r="CF48" i="8"/>
  <c r="CD48" i="8"/>
  <c r="CC48" i="8"/>
  <c r="CA48" i="8"/>
  <c r="BZ48" i="8"/>
  <c r="BX48" i="8"/>
  <c r="BW48" i="8"/>
  <c r="BU48" i="8"/>
  <c r="BT48" i="8"/>
  <c r="BR48" i="8"/>
  <c r="BQ48" i="8"/>
  <c r="BO48" i="8"/>
  <c r="BN48" i="8"/>
  <c r="BL48" i="8"/>
  <c r="BK48" i="8"/>
  <c r="BI48" i="8"/>
  <c r="BH48" i="8"/>
  <c r="BF48" i="8"/>
  <c r="BE48" i="8"/>
  <c r="BC48" i="8"/>
  <c r="BB48" i="8"/>
  <c r="AZ48" i="8"/>
  <c r="AY48" i="8"/>
  <c r="AW48" i="8"/>
  <c r="AV48" i="8"/>
  <c r="AT48" i="8"/>
  <c r="AS48" i="8"/>
  <c r="AQ48" i="8"/>
  <c r="AP48" i="8"/>
  <c r="AN48" i="8"/>
  <c r="AM48" i="8"/>
  <c r="AK48" i="8"/>
  <c r="AJ48" i="8"/>
  <c r="AH48" i="8"/>
  <c r="AG48" i="8"/>
  <c r="AE48" i="8"/>
  <c r="AD48" i="8"/>
  <c r="AB48" i="8"/>
  <c r="AA48" i="8"/>
  <c r="Y48" i="8"/>
  <c r="X48" i="8"/>
  <c r="V48" i="8"/>
  <c r="U48" i="8"/>
  <c r="S48" i="8"/>
  <c r="R48" i="8"/>
  <c r="P48" i="8"/>
  <c r="O48" i="8"/>
  <c r="M48" i="8"/>
  <c r="L48" i="8"/>
  <c r="J48" i="8"/>
  <c r="I48" i="8"/>
  <c r="EO47" i="8"/>
  <c r="EN47" i="8"/>
  <c r="EL47" i="8"/>
  <c r="EK47" i="8"/>
  <c r="EI47" i="8"/>
  <c r="EH47" i="8"/>
  <c r="EF47" i="8"/>
  <c r="EE47" i="8"/>
  <c r="EC47" i="8"/>
  <c r="EB47" i="8"/>
  <c r="DZ47" i="8"/>
  <c r="DY47" i="8"/>
  <c r="DW47" i="8"/>
  <c r="DV47" i="8"/>
  <c r="DT47" i="8"/>
  <c r="DS47" i="8"/>
  <c r="DQ47" i="8"/>
  <c r="DP47" i="8"/>
  <c r="DN47" i="8"/>
  <c r="DM47" i="8"/>
  <c r="DK47" i="8"/>
  <c r="DJ47" i="8"/>
  <c r="DH47" i="8"/>
  <c r="DG47" i="8"/>
  <c r="DE47" i="8"/>
  <c r="DD47" i="8"/>
  <c r="DB47" i="8"/>
  <c r="DA47" i="8"/>
  <c r="CY47" i="8"/>
  <c r="CX47" i="8"/>
  <c r="CV47" i="8"/>
  <c r="CU47" i="8"/>
  <c r="CS47" i="8"/>
  <c r="CR47" i="8"/>
  <c r="CP47" i="8"/>
  <c r="CO47" i="8"/>
  <c r="CM47" i="8"/>
  <c r="CL47" i="8"/>
  <c r="CJ47" i="8"/>
  <c r="CI47" i="8"/>
  <c r="CG47" i="8"/>
  <c r="CF47" i="8"/>
  <c r="CD47" i="8"/>
  <c r="CC47" i="8"/>
  <c r="CA47" i="8"/>
  <c r="BZ47" i="8"/>
  <c r="BX47" i="8"/>
  <c r="BW47" i="8"/>
  <c r="BU47" i="8"/>
  <c r="BT47" i="8"/>
  <c r="BR47" i="8"/>
  <c r="BQ47" i="8"/>
  <c r="BO47" i="8"/>
  <c r="BN47" i="8"/>
  <c r="BL47" i="8"/>
  <c r="BK47" i="8"/>
  <c r="BI47" i="8"/>
  <c r="BH47" i="8"/>
  <c r="BF47" i="8"/>
  <c r="BE47" i="8"/>
  <c r="BC47" i="8"/>
  <c r="BB47" i="8"/>
  <c r="AZ47" i="8"/>
  <c r="AY47" i="8"/>
  <c r="AW47" i="8"/>
  <c r="AV47" i="8"/>
  <c r="AT47" i="8"/>
  <c r="AS47" i="8"/>
  <c r="AQ47" i="8"/>
  <c r="AP47" i="8"/>
  <c r="AN47" i="8"/>
  <c r="AM47" i="8"/>
  <c r="AK47" i="8"/>
  <c r="AJ47" i="8"/>
  <c r="AH47" i="8"/>
  <c r="AG47" i="8"/>
  <c r="AE47" i="8"/>
  <c r="AD47" i="8"/>
  <c r="AB47" i="8"/>
  <c r="AA47" i="8"/>
  <c r="Y47" i="8"/>
  <c r="X47" i="8"/>
  <c r="V47" i="8"/>
  <c r="U47" i="8"/>
  <c r="S47" i="8"/>
  <c r="R47" i="8"/>
  <c r="P47" i="8"/>
  <c r="O47" i="8"/>
  <c r="M47" i="8"/>
  <c r="L47" i="8"/>
  <c r="J47" i="8"/>
  <c r="I47" i="8"/>
  <c r="EO46" i="8"/>
  <c r="EN46" i="8"/>
  <c r="EL46" i="8"/>
  <c r="EK46" i="8"/>
  <c r="EI46" i="8"/>
  <c r="EH46" i="8"/>
  <c r="EF46" i="8"/>
  <c r="EE46" i="8"/>
  <c r="EC46" i="8"/>
  <c r="EB46" i="8"/>
  <c r="DZ46" i="8"/>
  <c r="DY46" i="8"/>
  <c r="DW46" i="8"/>
  <c r="DV46" i="8"/>
  <c r="DT46" i="8"/>
  <c r="DS46" i="8"/>
  <c r="DQ46" i="8"/>
  <c r="DP46" i="8"/>
  <c r="DN46" i="8"/>
  <c r="DM46" i="8"/>
  <c r="DK46" i="8"/>
  <c r="DJ46" i="8"/>
  <c r="DH46" i="8"/>
  <c r="DG46" i="8"/>
  <c r="DE46" i="8"/>
  <c r="DD46" i="8"/>
  <c r="DB46" i="8"/>
  <c r="DA46" i="8"/>
  <c r="CY46" i="8"/>
  <c r="CX46" i="8"/>
  <c r="CV46" i="8"/>
  <c r="CU46" i="8"/>
  <c r="CS46" i="8"/>
  <c r="CR46" i="8"/>
  <c r="CP46" i="8"/>
  <c r="CO46" i="8"/>
  <c r="CM46" i="8"/>
  <c r="CL46" i="8"/>
  <c r="CJ46" i="8"/>
  <c r="CI46" i="8"/>
  <c r="CG46" i="8"/>
  <c r="CF46" i="8"/>
  <c r="CD46" i="8"/>
  <c r="CC46" i="8"/>
  <c r="CA46" i="8"/>
  <c r="BZ46" i="8"/>
  <c r="BX46" i="8"/>
  <c r="BW46" i="8"/>
  <c r="BU46" i="8"/>
  <c r="BT46" i="8"/>
  <c r="BR46" i="8"/>
  <c r="BQ46" i="8"/>
  <c r="BO46" i="8"/>
  <c r="BN46" i="8"/>
  <c r="BL46" i="8"/>
  <c r="BK46" i="8"/>
  <c r="BI46" i="8"/>
  <c r="BH46" i="8"/>
  <c r="BF46" i="8"/>
  <c r="BE46" i="8"/>
  <c r="BC46" i="8"/>
  <c r="BB46" i="8"/>
  <c r="AZ46" i="8"/>
  <c r="AY46" i="8"/>
  <c r="AW46" i="8"/>
  <c r="AV46" i="8"/>
  <c r="AT46" i="8"/>
  <c r="AS46" i="8"/>
  <c r="AQ46" i="8"/>
  <c r="AP46" i="8"/>
  <c r="AN46" i="8"/>
  <c r="AM46" i="8"/>
  <c r="AK46" i="8"/>
  <c r="AJ46" i="8"/>
  <c r="AH46" i="8"/>
  <c r="AG46" i="8"/>
  <c r="AE46" i="8"/>
  <c r="AD46" i="8"/>
  <c r="AB46" i="8"/>
  <c r="AA46" i="8"/>
  <c r="Y46" i="8"/>
  <c r="X46" i="8"/>
  <c r="V46" i="8"/>
  <c r="U46" i="8"/>
  <c r="S46" i="8"/>
  <c r="R46" i="8"/>
  <c r="P46" i="8"/>
  <c r="O46" i="8"/>
  <c r="M46" i="8"/>
  <c r="L46" i="8"/>
  <c r="J46" i="8"/>
  <c r="I46" i="8"/>
  <c r="EO45" i="8"/>
  <c r="EN45" i="8"/>
  <c r="EL45" i="8"/>
  <c r="EK45" i="8"/>
  <c r="EI45" i="8"/>
  <c r="EH45" i="8"/>
  <c r="EF45" i="8"/>
  <c r="EE45" i="8"/>
  <c r="EC45" i="8"/>
  <c r="EB45" i="8"/>
  <c r="DZ45" i="8"/>
  <c r="DY45" i="8"/>
  <c r="DW45" i="8"/>
  <c r="DV45" i="8"/>
  <c r="DT45" i="8"/>
  <c r="DS45" i="8"/>
  <c r="DQ45" i="8"/>
  <c r="DP45" i="8"/>
  <c r="DN45" i="8"/>
  <c r="DM45" i="8"/>
  <c r="DK45" i="8"/>
  <c r="DJ45" i="8"/>
  <c r="DH45" i="8"/>
  <c r="DG45" i="8"/>
  <c r="DE45" i="8"/>
  <c r="DD45" i="8"/>
  <c r="DB45" i="8"/>
  <c r="DA45" i="8"/>
  <c r="CY45" i="8"/>
  <c r="CX45" i="8"/>
  <c r="CV45" i="8"/>
  <c r="CU45" i="8"/>
  <c r="CS45" i="8"/>
  <c r="CR45" i="8"/>
  <c r="CP45" i="8"/>
  <c r="CO45" i="8"/>
  <c r="CM45" i="8"/>
  <c r="CL45" i="8"/>
  <c r="CJ45" i="8"/>
  <c r="CI45" i="8"/>
  <c r="CG45" i="8"/>
  <c r="CF45" i="8"/>
  <c r="CD45" i="8"/>
  <c r="CC45" i="8"/>
  <c r="CA45" i="8"/>
  <c r="BZ45" i="8"/>
  <c r="BX45" i="8"/>
  <c r="BW45" i="8"/>
  <c r="BU45" i="8"/>
  <c r="BT45" i="8"/>
  <c r="BR45" i="8"/>
  <c r="BQ45" i="8"/>
  <c r="BO45" i="8"/>
  <c r="BN45" i="8"/>
  <c r="BL45" i="8"/>
  <c r="BK45" i="8"/>
  <c r="BI45" i="8"/>
  <c r="BH45" i="8"/>
  <c r="BF45" i="8"/>
  <c r="BE45" i="8"/>
  <c r="BC45" i="8"/>
  <c r="BB45" i="8"/>
  <c r="AZ45" i="8"/>
  <c r="AY45" i="8"/>
  <c r="AW45" i="8"/>
  <c r="AV45" i="8"/>
  <c r="AT45" i="8"/>
  <c r="AS45" i="8"/>
  <c r="AQ45" i="8"/>
  <c r="AP45" i="8"/>
  <c r="AN45" i="8"/>
  <c r="AM45" i="8"/>
  <c r="AK45" i="8"/>
  <c r="AJ45" i="8"/>
  <c r="AH45" i="8"/>
  <c r="AG45" i="8"/>
  <c r="AE45" i="8"/>
  <c r="AD45" i="8"/>
  <c r="AB45" i="8"/>
  <c r="AA45" i="8"/>
  <c r="Y45" i="8"/>
  <c r="X45" i="8"/>
  <c r="V45" i="8"/>
  <c r="U45" i="8"/>
  <c r="S45" i="8"/>
  <c r="R45" i="8"/>
  <c r="P45" i="8"/>
  <c r="O45" i="8"/>
  <c r="M45" i="8"/>
  <c r="L45" i="8"/>
  <c r="J45" i="8"/>
  <c r="I45" i="8"/>
  <c r="EO44" i="8"/>
  <c r="EN44" i="8"/>
  <c r="EL44" i="8"/>
  <c r="EK44" i="8"/>
  <c r="EI44" i="8"/>
  <c r="EH44" i="8"/>
  <c r="EF44" i="8"/>
  <c r="EE44" i="8"/>
  <c r="EC44" i="8"/>
  <c r="EB44" i="8"/>
  <c r="DZ44" i="8"/>
  <c r="DY44" i="8"/>
  <c r="DW44" i="8"/>
  <c r="DV44" i="8"/>
  <c r="DT44" i="8"/>
  <c r="DS44" i="8"/>
  <c r="DQ44" i="8"/>
  <c r="DP44" i="8"/>
  <c r="DN44" i="8"/>
  <c r="DM44" i="8"/>
  <c r="DK44" i="8"/>
  <c r="DJ44" i="8"/>
  <c r="DH44" i="8"/>
  <c r="DG44" i="8"/>
  <c r="DE44" i="8"/>
  <c r="DD44" i="8"/>
  <c r="DB44" i="8"/>
  <c r="DA44" i="8"/>
  <c r="CY44" i="8"/>
  <c r="CX44" i="8"/>
  <c r="CV44" i="8"/>
  <c r="CU44" i="8"/>
  <c r="CS44" i="8"/>
  <c r="CR44" i="8"/>
  <c r="CP44" i="8"/>
  <c r="CO44" i="8"/>
  <c r="CM44" i="8"/>
  <c r="CL44" i="8"/>
  <c r="CJ44" i="8"/>
  <c r="CI44" i="8"/>
  <c r="CG44" i="8"/>
  <c r="CF44" i="8"/>
  <c r="CD44" i="8"/>
  <c r="CC44" i="8"/>
  <c r="CA44" i="8"/>
  <c r="BZ44" i="8"/>
  <c r="BX44" i="8"/>
  <c r="BW44" i="8"/>
  <c r="BU44" i="8"/>
  <c r="BT44" i="8"/>
  <c r="BR44" i="8"/>
  <c r="BQ44" i="8"/>
  <c r="BO44" i="8"/>
  <c r="BN44" i="8"/>
  <c r="BL44" i="8"/>
  <c r="BK44" i="8"/>
  <c r="BI44" i="8"/>
  <c r="BH44" i="8"/>
  <c r="BF44" i="8"/>
  <c r="BE44" i="8"/>
  <c r="BC44" i="8"/>
  <c r="BB44" i="8"/>
  <c r="AZ44" i="8"/>
  <c r="AY44" i="8"/>
  <c r="AW44" i="8"/>
  <c r="AV44" i="8"/>
  <c r="AT44" i="8"/>
  <c r="AS44" i="8"/>
  <c r="AQ44" i="8"/>
  <c r="AP44" i="8"/>
  <c r="AN44" i="8"/>
  <c r="AM44" i="8"/>
  <c r="AK44" i="8"/>
  <c r="AJ44" i="8"/>
  <c r="AH44" i="8"/>
  <c r="AG44" i="8"/>
  <c r="AE44" i="8"/>
  <c r="AD44" i="8"/>
  <c r="AB44" i="8"/>
  <c r="AA44" i="8"/>
  <c r="Y44" i="8"/>
  <c r="X44" i="8"/>
  <c r="V44" i="8"/>
  <c r="U44" i="8"/>
  <c r="S44" i="8"/>
  <c r="R44" i="8"/>
  <c r="P44" i="8"/>
  <c r="O44" i="8"/>
  <c r="M44" i="8"/>
  <c r="L44" i="8"/>
  <c r="J44" i="8"/>
  <c r="I44" i="8"/>
  <c r="EO43" i="8"/>
  <c r="EN43" i="8"/>
  <c r="EL43" i="8"/>
  <c r="EK43" i="8"/>
  <c r="EI43" i="8"/>
  <c r="EH43" i="8"/>
  <c r="EF43" i="8"/>
  <c r="EE43" i="8"/>
  <c r="EC43" i="8"/>
  <c r="EB43" i="8"/>
  <c r="DZ43" i="8"/>
  <c r="DY43" i="8"/>
  <c r="DW43" i="8"/>
  <c r="DV43" i="8"/>
  <c r="DT43" i="8"/>
  <c r="DS43" i="8"/>
  <c r="DQ43" i="8"/>
  <c r="DP43" i="8"/>
  <c r="DN43" i="8"/>
  <c r="DM43" i="8"/>
  <c r="DK43" i="8"/>
  <c r="DJ43" i="8"/>
  <c r="DH43" i="8"/>
  <c r="DG43" i="8"/>
  <c r="DE43" i="8"/>
  <c r="DD43" i="8"/>
  <c r="DB43" i="8"/>
  <c r="DA43" i="8"/>
  <c r="CY43" i="8"/>
  <c r="CX43" i="8"/>
  <c r="CV43" i="8"/>
  <c r="CU43" i="8"/>
  <c r="CS43" i="8"/>
  <c r="CR43" i="8"/>
  <c r="CP43" i="8"/>
  <c r="CO43" i="8"/>
  <c r="CM43" i="8"/>
  <c r="CL43" i="8"/>
  <c r="CJ43" i="8"/>
  <c r="CI43" i="8"/>
  <c r="CG43" i="8"/>
  <c r="CF43" i="8"/>
  <c r="CD43" i="8"/>
  <c r="CC43" i="8"/>
  <c r="CA43" i="8"/>
  <c r="BZ43" i="8"/>
  <c r="BX43" i="8"/>
  <c r="BW43" i="8"/>
  <c r="BU43" i="8"/>
  <c r="BT43" i="8"/>
  <c r="BR43" i="8"/>
  <c r="BQ43" i="8"/>
  <c r="BO43" i="8"/>
  <c r="BN43" i="8"/>
  <c r="BL43" i="8"/>
  <c r="BK43" i="8"/>
  <c r="BI43" i="8"/>
  <c r="BH43" i="8"/>
  <c r="BF43" i="8"/>
  <c r="BE43" i="8"/>
  <c r="BC43" i="8"/>
  <c r="BB43" i="8"/>
  <c r="AZ43" i="8"/>
  <c r="AY43" i="8"/>
  <c r="AW43" i="8"/>
  <c r="AV43" i="8"/>
  <c r="AT43" i="8"/>
  <c r="AS43" i="8"/>
  <c r="AQ43" i="8"/>
  <c r="AP43" i="8"/>
  <c r="AN43" i="8"/>
  <c r="AM43" i="8"/>
  <c r="AK43" i="8"/>
  <c r="AJ43" i="8"/>
  <c r="AH43" i="8"/>
  <c r="AG43" i="8"/>
  <c r="AE43" i="8"/>
  <c r="AD43" i="8"/>
  <c r="AB43" i="8"/>
  <c r="AA43" i="8"/>
  <c r="Y43" i="8"/>
  <c r="X43" i="8"/>
  <c r="V43" i="8"/>
  <c r="U43" i="8"/>
  <c r="S43" i="8"/>
  <c r="R43" i="8"/>
  <c r="P43" i="8"/>
  <c r="O43" i="8"/>
  <c r="M43" i="8"/>
  <c r="L43" i="8"/>
  <c r="J43" i="8"/>
  <c r="I43" i="8"/>
  <c r="EO42" i="8"/>
  <c r="EN42" i="8"/>
  <c r="EL42" i="8"/>
  <c r="EK42" i="8"/>
  <c r="EI42" i="8"/>
  <c r="EH42" i="8"/>
  <c r="EF42" i="8"/>
  <c r="EE42" i="8"/>
  <c r="EC42" i="8"/>
  <c r="EB42" i="8"/>
  <c r="DZ42" i="8"/>
  <c r="DY42" i="8"/>
  <c r="DW42" i="8"/>
  <c r="DV42" i="8"/>
  <c r="DT42" i="8"/>
  <c r="DS42" i="8"/>
  <c r="DQ42" i="8"/>
  <c r="DP42" i="8"/>
  <c r="DN42" i="8"/>
  <c r="DM42" i="8"/>
  <c r="DK42" i="8"/>
  <c r="DJ42" i="8"/>
  <c r="DH42" i="8"/>
  <c r="DG42" i="8"/>
  <c r="DE42" i="8"/>
  <c r="DD42" i="8"/>
  <c r="DB42" i="8"/>
  <c r="DA42" i="8"/>
  <c r="CY42" i="8"/>
  <c r="CX42" i="8"/>
  <c r="CV42" i="8"/>
  <c r="CU42" i="8"/>
  <c r="CS42" i="8"/>
  <c r="CR42" i="8"/>
  <c r="CP42" i="8"/>
  <c r="CO42" i="8"/>
  <c r="CM42" i="8"/>
  <c r="CL42" i="8"/>
  <c r="CJ42" i="8"/>
  <c r="CI42" i="8"/>
  <c r="CG42" i="8"/>
  <c r="CF42" i="8"/>
  <c r="CD42" i="8"/>
  <c r="CC42" i="8"/>
  <c r="CA42" i="8"/>
  <c r="BZ42" i="8"/>
  <c r="BX42" i="8"/>
  <c r="BW42" i="8"/>
  <c r="BU42" i="8"/>
  <c r="BT42" i="8"/>
  <c r="BR42" i="8"/>
  <c r="BQ42" i="8"/>
  <c r="BO42" i="8"/>
  <c r="BN42" i="8"/>
  <c r="BL42" i="8"/>
  <c r="BK42" i="8"/>
  <c r="BI42" i="8"/>
  <c r="BH42" i="8"/>
  <c r="BF42" i="8"/>
  <c r="BE42" i="8"/>
  <c r="BC42" i="8"/>
  <c r="BB42" i="8"/>
  <c r="AZ42" i="8"/>
  <c r="AY42" i="8"/>
  <c r="AW42" i="8"/>
  <c r="AV42" i="8"/>
  <c r="AT42" i="8"/>
  <c r="AS42" i="8"/>
  <c r="AQ42" i="8"/>
  <c r="AP42" i="8"/>
  <c r="AN42" i="8"/>
  <c r="AM42" i="8"/>
  <c r="AK42" i="8"/>
  <c r="AJ42" i="8"/>
  <c r="AH42" i="8"/>
  <c r="AG42" i="8"/>
  <c r="AE42" i="8"/>
  <c r="AD42" i="8"/>
  <c r="AB42" i="8"/>
  <c r="AA42" i="8"/>
  <c r="Y42" i="8"/>
  <c r="X42" i="8"/>
  <c r="V42" i="8"/>
  <c r="U42" i="8"/>
  <c r="S42" i="8"/>
  <c r="R42" i="8"/>
  <c r="P42" i="8"/>
  <c r="O42" i="8"/>
  <c r="M42" i="8"/>
  <c r="L42" i="8"/>
  <c r="J42" i="8"/>
  <c r="I42" i="8"/>
  <c r="EO41" i="8"/>
  <c r="EN41" i="8"/>
  <c r="EL41" i="8"/>
  <c r="EK41" i="8"/>
  <c r="EI41" i="8"/>
  <c r="EH41" i="8"/>
  <c r="EF41" i="8"/>
  <c r="EE41" i="8"/>
  <c r="EC41" i="8"/>
  <c r="EB41" i="8"/>
  <c r="DZ41" i="8"/>
  <c r="DY41" i="8"/>
  <c r="DW41" i="8"/>
  <c r="DV41" i="8"/>
  <c r="DT41" i="8"/>
  <c r="DS41" i="8"/>
  <c r="DQ41" i="8"/>
  <c r="DP41" i="8"/>
  <c r="DN41" i="8"/>
  <c r="DM41" i="8"/>
  <c r="DK41" i="8"/>
  <c r="DJ41" i="8"/>
  <c r="DH41" i="8"/>
  <c r="DG41" i="8"/>
  <c r="DE41" i="8"/>
  <c r="DD41" i="8"/>
  <c r="DB41" i="8"/>
  <c r="DA41" i="8"/>
  <c r="CY41" i="8"/>
  <c r="CX41" i="8"/>
  <c r="CV41" i="8"/>
  <c r="CU41" i="8"/>
  <c r="CS41" i="8"/>
  <c r="CR41" i="8"/>
  <c r="CP41" i="8"/>
  <c r="CO41" i="8"/>
  <c r="CM41" i="8"/>
  <c r="CL41" i="8"/>
  <c r="CJ41" i="8"/>
  <c r="CI41" i="8"/>
  <c r="CG41" i="8"/>
  <c r="CF41" i="8"/>
  <c r="CD41" i="8"/>
  <c r="CC41" i="8"/>
  <c r="CA41" i="8"/>
  <c r="BZ41" i="8"/>
  <c r="BX41" i="8"/>
  <c r="BW41" i="8"/>
  <c r="BU41" i="8"/>
  <c r="BT41" i="8"/>
  <c r="BR41" i="8"/>
  <c r="BQ41" i="8"/>
  <c r="BO41" i="8"/>
  <c r="BN41" i="8"/>
  <c r="BL41" i="8"/>
  <c r="BK41" i="8"/>
  <c r="BI41" i="8"/>
  <c r="BH41" i="8"/>
  <c r="BF41" i="8"/>
  <c r="BE41" i="8"/>
  <c r="BC41" i="8"/>
  <c r="BB41" i="8"/>
  <c r="AZ41" i="8"/>
  <c r="AY41" i="8"/>
  <c r="AW41" i="8"/>
  <c r="AV41" i="8"/>
  <c r="AT41" i="8"/>
  <c r="AS41" i="8"/>
  <c r="AQ41" i="8"/>
  <c r="AP41" i="8"/>
  <c r="AN41" i="8"/>
  <c r="AM41" i="8"/>
  <c r="AK41" i="8"/>
  <c r="AJ41" i="8"/>
  <c r="AH41" i="8"/>
  <c r="AG41" i="8"/>
  <c r="AE41" i="8"/>
  <c r="AD41" i="8"/>
  <c r="AB41" i="8"/>
  <c r="AA41" i="8"/>
  <c r="Y41" i="8"/>
  <c r="X41" i="8"/>
  <c r="V41" i="8"/>
  <c r="U41" i="8"/>
  <c r="S41" i="8"/>
  <c r="R41" i="8"/>
  <c r="P41" i="8"/>
  <c r="O41" i="8"/>
  <c r="M41" i="8"/>
  <c r="L41" i="8"/>
  <c r="J41" i="8"/>
  <c r="I41" i="8"/>
  <c r="EO40" i="8"/>
  <c r="EN40" i="8"/>
  <c r="EL40" i="8"/>
  <c r="EK40" i="8"/>
  <c r="EI40" i="8"/>
  <c r="EH40" i="8"/>
  <c r="EF40" i="8"/>
  <c r="EE40" i="8"/>
  <c r="EC40" i="8"/>
  <c r="EB40" i="8"/>
  <c r="DZ40" i="8"/>
  <c r="DY40" i="8"/>
  <c r="DW40" i="8"/>
  <c r="DV40" i="8"/>
  <c r="DT40" i="8"/>
  <c r="DS40" i="8"/>
  <c r="DQ40" i="8"/>
  <c r="DP40" i="8"/>
  <c r="DN40" i="8"/>
  <c r="DM40" i="8"/>
  <c r="DK40" i="8"/>
  <c r="DJ40" i="8"/>
  <c r="DH40" i="8"/>
  <c r="DG40" i="8"/>
  <c r="DE40" i="8"/>
  <c r="DD40" i="8"/>
  <c r="DB40" i="8"/>
  <c r="DA40" i="8"/>
  <c r="CY40" i="8"/>
  <c r="CX40" i="8"/>
  <c r="CV40" i="8"/>
  <c r="CU40" i="8"/>
  <c r="CS40" i="8"/>
  <c r="CR40" i="8"/>
  <c r="CP40" i="8"/>
  <c r="CO40" i="8"/>
  <c r="CM40" i="8"/>
  <c r="CL40" i="8"/>
  <c r="CJ40" i="8"/>
  <c r="CI40" i="8"/>
  <c r="CG40" i="8"/>
  <c r="CF40" i="8"/>
  <c r="CD40" i="8"/>
  <c r="CC40" i="8"/>
  <c r="CA40" i="8"/>
  <c r="BZ40" i="8"/>
  <c r="BX40" i="8"/>
  <c r="BW40" i="8"/>
  <c r="BU40" i="8"/>
  <c r="BT40" i="8"/>
  <c r="BR40" i="8"/>
  <c r="BQ40" i="8"/>
  <c r="BO40" i="8"/>
  <c r="BN40" i="8"/>
  <c r="BL40" i="8"/>
  <c r="BK40" i="8"/>
  <c r="BI40" i="8"/>
  <c r="BH40" i="8"/>
  <c r="BF40" i="8"/>
  <c r="BE40" i="8"/>
  <c r="BC40" i="8"/>
  <c r="BB40" i="8"/>
  <c r="AZ40" i="8"/>
  <c r="AY40" i="8"/>
  <c r="AW40" i="8"/>
  <c r="AV40" i="8"/>
  <c r="AT40" i="8"/>
  <c r="AS40" i="8"/>
  <c r="AQ40" i="8"/>
  <c r="AP40" i="8"/>
  <c r="AN40" i="8"/>
  <c r="AM40" i="8"/>
  <c r="AK40" i="8"/>
  <c r="AJ40" i="8"/>
  <c r="AH40" i="8"/>
  <c r="AG40" i="8"/>
  <c r="AE40" i="8"/>
  <c r="AD40" i="8"/>
  <c r="AB40" i="8"/>
  <c r="AA40" i="8"/>
  <c r="Y40" i="8"/>
  <c r="X40" i="8"/>
  <c r="V40" i="8"/>
  <c r="U40" i="8"/>
  <c r="S40" i="8"/>
  <c r="R40" i="8"/>
  <c r="P40" i="8"/>
  <c r="O40" i="8"/>
  <c r="M40" i="8"/>
  <c r="L40" i="8"/>
  <c r="J40" i="8"/>
  <c r="I40" i="8"/>
  <c r="EO39" i="8"/>
  <c r="EN39" i="8"/>
  <c r="EL39" i="8"/>
  <c r="EK39" i="8"/>
  <c r="EI39" i="8"/>
  <c r="EH39" i="8"/>
  <c r="EF39" i="8"/>
  <c r="EE39" i="8"/>
  <c r="EC39" i="8"/>
  <c r="EB39" i="8"/>
  <c r="DZ39" i="8"/>
  <c r="DY39" i="8"/>
  <c r="DW39" i="8"/>
  <c r="DV39" i="8"/>
  <c r="DT39" i="8"/>
  <c r="DS39" i="8"/>
  <c r="DQ39" i="8"/>
  <c r="DP39" i="8"/>
  <c r="DN39" i="8"/>
  <c r="DM39" i="8"/>
  <c r="DK39" i="8"/>
  <c r="DJ39" i="8"/>
  <c r="DH39" i="8"/>
  <c r="DG39" i="8"/>
  <c r="DE39" i="8"/>
  <c r="DD39" i="8"/>
  <c r="DB39" i="8"/>
  <c r="DA39" i="8"/>
  <c r="CY39" i="8"/>
  <c r="CX39" i="8"/>
  <c r="CV39" i="8"/>
  <c r="CU39" i="8"/>
  <c r="CS39" i="8"/>
  <c r="CR39" i="8"/>
  <c r="CP39" i="8"/>
  <c r="CO39" i="8"/>
  <c r="CM39" i="8"/>
  <c r="CL39" i="8"/>
  <c r="CJ39" i="8"/>
  <c r="CI39" i="8"/>
  <c r="CG39" i="8"/>
  <c r="CF39" i="8"/>
  <c r="CD39" i="8"/>
  <c r="CC39" i="8"/>
  <c r="CA39" i="8"/>
  <c r="BZ39" i="8"/>
  <c r="BX39" i="8"/>
  <c r="BW39" i="8"/>
  <c r="BU39" i="8"/>
  <c r="BT39" i="8"/>
  <c r="BR39" i="8"/>
  <c r="BQ39" i="8"/>
  <c r="BO39" i="8"/>
  <c r="BN39" i="8"/>
  <c r="BL39" i="8"/>
  <c r="BK39" i="8"/>
  <c r="BI39" i="8"/>
  <c r="BH39" i="8"/>
  <c r="BF39" i="8"/>
  <c r="BE39" i="8"/>
  <c r="BC39" i="8"/>
  <c r="BB39" i="8"/>
  <c r="AZ39" i="8"/>
  <c r="AY39" i="8"/>
  <c r="AW39" i="8"/>
  <c r="AV39" i="8"/>
  <c r="AT39" i="8"/>
  <c r="AS39" i="8"/>
  <c r="AQ39" i="8"/>
  <c r="AP39" i="8"/>
  <c r="AN39" i="8"/>
  <c r="AM39" i="8"/>
  <c r="AK39" i="8"/>
  <c r="AJ39" i="8"/>
  <c r="AH39" i="8"/>
  <c r="AG39" i="8"/>
  <c r="AE39" i="8"/>
  <c r="AD39" i="8"/>
  <c r="AB39" i="8"/>
  <c r="AA39" i="8"/>
  <c r="Y39" i="8"/>
  <c r="X39" i="8"/>
  <c r="V39" i="8"/>
  <c r="U39" i="8"/>
  <c r="S39" i="8"/>
  <c r="R39" i="8"/>
  <c r="P39" i="8"/>
  <c r="O39" i="8"/>
  <c r="M39" i="8"/>
  <c r="L39" i="8"/>
  <c r="J39" i="8"/>
  <c r="I39" i="8"/>
  <c r="EO38" i="8"/>
  <c r="EN38" i="8"/>
  <c r="EL38" i="8"/>
  <c r="EK38" i="8"/>
  <c r="EI38" i="8"/>
  <c r="EH38" i="8"/>
  <c r="EF38" i="8"/>
  <c r="EE38" i="8"/>
  <c r="EC38" i="8"/>
  <c r="EB38" i="8"/>
  <c r="DZ38" i="8"/>
  <c r="DY38" i="8"/>
  <c r="DW38" i="8"/>
  <c r="DV38" i="8"/>
  <c r="DT38" i="8"/>
  <c r="DS38" i="8"/>
  <c r="DQ38" i="8"/>
  <c r="DP38" i="8"/>
  <c r="DN38" i="8"/>
  <c r="DM38" i="8"/>
  <c r="DK38" i="8"/>
  <c r="DJ38" i="8"/>
  <c r="DH38" i="8"/>
  <c r="DG38" i="8"/>
  <c r="DE38" i="8"/>
  <c r="DD38" i="8"/>
  <c r="DB38" i="8"/>
  <c r="DA38" i="8"/>
  <c r="CY38" i="8"/>
  <c r="CX38" i="8"/>
  <c r="CV38" i="8"/>
  <c r="CU38" i="8"/>
  <c r="CS38" i="8"/>
  <c r="CR38" i="8"/>
  <c r="CP38" i="8"/>
  <c r="CO38" i="8"/>
  <c r="CM38" i="8"/>
  <c r="CL38" i="8"/>
  <c r="CJ38" i="8"/>
  <c r="CI38" i="8"/>
  <c r="CG38" i="8"/>
  <c r="CF38" i="8"/>
  <c r="CD38" i="8"/>
  <c r="CC38" i="8"/>
  <c r="CA38" i="8"/>
  <c r="BZ38" i="8"/>
  <c r="BX38" i="8"/>
  <c r="BW38" i="8"/>
  <c r="BU38" i="8"/>
  <c r="BT38" i="8"/>
  <c r="BR38" i="8"/>
  <c r="BQ38" i="8"/>
  <c r="BO38" i="8"/>
  <c r="BN38" i="8"/>
  <c r="BL38" i="8"/>
  <c r="BK38" i="8"/>
  <c r="BI38" i="8"/>
  <c r="BH38" i="8"/>
  <c r="BF38" i="8"/>
  <c r="BE38" i="8"/>
  <c r="BC38" i="8"/>
  <c r="BB38" i="8"/>
  <c r="AZ38" i="8"/>
  <c r="AY38" i="8"/>
  <c r="AW38" i="8"/>
  <c r="AV38" i="8"/>
  <c r="AT38" i="8"/>
  <c r="AS38" i="8"/>
  <c r="AQ38" i="8"/>
  <c r="AP38" i="8"/>
  <c r="AN38" i="8"/>
  <c r="AM38" i="8"/>
  <c r="AK38" i="8"/>
  <c r="AJ38" i="8"/>
  <c r="AH38" i="8"/>
  <c r="AG38" i="8"/>
  <c r="AE38" i="8"/>
  <c r="AD38" i="8"/>
  <c r="AB38" i="8"/>
  <c r="AA38" i="8"/>
  <c r="Y38" i="8"/>
  <c r="X38" i="8"/>
  <c r="V38" i="8"/>
  <c r="U38" i="8"/>
  <c r="S38" i="8"/>
  <c r="R38" i="8"/>
  <c r="P38" i="8"/>
  <c r="O38" i="8"/>
  <c r="M38" i="8"/>
  <c r="L38" i="8"/>
  <c r="J38" i="8"/>
  <c r="I38" i="8"/>
  <c r="EO37" i="8"/>
  <c r="EN37" i="8"/>
  <c r="EL37" i="8"/>
  <c r="EK37" i="8"/>
  <c r="EI37" i="8"/>
  <c r="EH37" i="8"/>
  <c r="EF37" i="8"/>
  <c r="EE37" i="8"/>
  <c r="EC37" i="8"/>
  <c r="EB37" i="8"/>
  <c r="DZ37" i="8"/>
  <c r="DY37" i="8"/>
  <c r="DW37" i="8"/>
  <c r="DV37" i="8"/>
  <c r="DT37" i="8"/>
  <c r="DS37" i="8"/>
  <c r="DQ37" i="8"/>
  <c r="DP37" i="8"/>
  <c r="DN37" i="8"/>
  <c r="DM37" i="8"/>
  <c r="DK37" i="8"/>
  <c r="DJ37" i="8"/>
  <c r="DH37" i="8"/>
  <c r="DG37" i="8"/>
  <c r="DE37" i="8"/>
  <c r="DD37" i="8"/>
  <c r="DB37" i="8"/>
  <c r="DA37" i="8"/>
  <c r="CY37" i="8"/>
  <c r="CX37" i="8"/>
  <c r="CV37" i="8"/>
  <c r="CU37" i="8"/>
  <c r="CS37" i="8"/>
  <c r="CR37" i="8"/>
  <c r="CP37" i="8"/>
  <c r="CO37" i="8"/>
  <c r="CM37" i="8"/>
  <c r="CL37" i="8"/>
  <c r="CJ37" i="8"/>
  <c r="CI37" i="8"/>
  <c r="CG37" i="8"/>
  <c r="CF37" i="8"/>
  <c r="CD37" i="8"/>
  <c r="CC37" i="8"/>
  <c r="CA37" i="8"/>
  <c r="BZ37" i="8"/>
  <c r="BX37" i="8"/>
  <c r="BW37" i="8"/>
  <c r="BU37" i="8"/>
  <c r="BT37" i="8"/>
  <c r="BR37" i="8"/>
  <c r="BQ37" i="8"/>
  <c r="BO37" i="8"/>
  <c r="BN37" i="8"/>
  <c r="BL37" i="8"/>
  <c r="BK37" i="8"/>
  <c r="BI37" i="8"/>
  <c r="BH37" i="8"/>
  <c r="BF37" i="8"/>
  <c r="BE37" i="8"/>
  <c r="BC37" i="8"/>
  <c r="BB37" i="8"/>
  <c r="AZ37" i="8"/>
  <c r="AY37" i="8"/>
  <c r="AW37" i="8"/>
  <c r="AV37" i="8"/>
  <c r="AT37" i="8"/>
  <c r="AS37" i="8"/>
  <c r="AQ37" i="8"/>
  <c r="AP37" i="8"/>
  <c r="AN37" i="8"/>
  <c r="AM37" i="8"/>
  <c r="AK37" i="8"/>
  <c r="AJ37" i="8"/>
  <c r="AH37" i="8"/>
  <c r="AG37" i="8"/>
  <c r="AE37" i="8"/>
  <c r="AD37" i="8"/>
  <c r="AB37" i="8"/>
  <c r="AA37" i="8"/>
  <c r="Y37" i="8"/>
  <c r="X37" i="8"/>
  <c r="V37" i="8"/>
  <c r="U37" i="8"/>
  <c r="S37" i="8"/>
  <c r="R37" i="8"/>
  <c r="P37" i="8"/>
  <c r="O37" i="8"/>
  <c r="M37" i="8"/>
  <c r="L37" i="8"/>
  <c r="J37" i="8"/>
  <c r="I37" i="8"/>
  <c r="EO36" i="8"/>
  <c r="EN36" i="8"/>
  <c r="EL36" i="8"/>
  <c r="EK36" i="8"/>
  <c r="EI36" i="8"/>
  <c r="EH36" i="8"/>
  <c r="EF36" i="8"/>
  <c r="EE36" i="8"/>
  <c r="EC36" i="8"/>
  <c r="EB36" i="8"/>
  <c r="DZ36" i="8"/>
  <c r="DY36" i="8"/>
  <c r="DW36" i="8"/>
  <c r="DV36" i="8"/>
  <c r="DT36" i="8"/>
  <c r="DS36" i="8"/>
  <c r="DQ36" i="8"/>
  <c r="DP36" i="8"/>
  <c r="DN36" i="8"/>
  <c r="DM36" i="8"/>
  <c r="DK36" i="8"/>
  <c r="DJ36" i="8"/>
  <c r="DH36" i="8"/>
  <c r="DG36" i="8"/>
  <c r="DE36" i="8"/>
  <c r="DD36" i="8"/>
  <c r="DB36" i="8"/>
  <c r="DA36" i="8"/>
  <c r="CY36" i="8"/>
  <c r="CX36" i="8"/>
  <c r="CV36" i="8"/>
  <c r="CU36" i="8"/>
  <c r="CS36" i="8"/>
  <c r="CR36" i="8"/>
  <c r="CP36" i="8"/>
  <c r="CO36" i="8"/>
  <c r="CM36" i="8"/>
  <c r="CL36" i="8"/>
  <c r="CJ36" i="8"/>
  <c r="CI36" i="8"/>
  <c r="CG36" i="8"/>
  <c r="CF36" i="8"/>
  <c r="CD36" i="8"/>
  <c r="CC36" i="8"/>
  <c r="CA36" i="8"/>
  <c r="BZ36" i="8"/>
  <c r="BX36" i="8"/>
  <c r="BW36" i="8"/>
  <c r="BU36" i="8"/>
  <c r="BT36" i="8"/>
  <c r="BR36" i="8"/>
  <c r="BQ36" i="8"/>
  <c r="BO36" i="8"/>
  <c r="BN36" i="8"/>
  <c r="BL36" i="8"/>
  <c r="BK36" i="8"/>
  <c r="BI36" i="8"/>
  <c r="BH36" i="8"/>
  <c r="BF36" i="8"/>
  <c r="BE36" i="8"/>
  <c r="BC36" i="8"/>
  <c r="BB36" i="8"/>
  <c r="AZ36" i="8"/>
  <c r="AY36" i="8"/>
  <c r="AW36" i="8"/>
  <c r="AV36" i="8"/>
  <c r="AT36" i="8"/>
  <c r="AS36" i="8"/>
  <c r="AQ36" i="8"/>
  <c r="AP36" i="8"/>
  <c r="AN36" i="8"/>
  <c r="AM36" i="8"/>
  <c r="AK36" i="8"/>
  <c r="AJ36" i="8"/>
  <c r="AH36" i="8"/>
  <c r="AG36" i="8"/>
  <c r="AE36" i="8"/>
  <c r="AD36" i="8"/>
  <c r="AB36" i="8"/>
  <c r="AA36" i="8"/>
  <c r="Y36" i="8"/>
  <c r="X36" i="8"/>
  <c r="V36" i="8"/>
  <c r="U36" i="8"/>
  <c r="S36" i="8"/>
  <c r="R36" i="8"/>
  <c r="P36" i="8"/>
  <c r="O36" i="8"/>
  <c r="M36" i="8"/>
  <c r="L36" i="8"/>
  <c r="J36" i="8"/>
  <c r="I36" i="8"/>
  <c r="EO35" i="8"/>
  <c r="EN35" i="8"/>
  <c r="EL35" i="8"/>
  <c r="EK35" i="8"/>
  <c r="EI35" i="8"/>
  <c r="EH35" i="8"/>
  <c r="EF35" i="8"/>
  <c r="EE35" i="8"/>
  <c r="EC35" i="8"/>
  <c r="EB35" i="8"/>
  <c r="DZ35" i="8"/>
  <c r="DY35" i="8"/>
  <c r="DW35" i="8"/>
  <c r="DV35" i="8"/>
  <c r="DT35" i="8"/>
  <c r="DS35" i="8"/>
  <c r="DQ35" i="8"/>
  <c r="DP35" i="8"/>
  <c r="DN35" i="8"/>
  <c r="DM35" i="8"/>
  <c r="DK35" i="8"/>
  <c r="DJ35" i="8"/>
  <c r="DH35" i="8"/>
  <c r="DG35" i="8"/>
  <c r="DE35" i="8"/>
  <c r="DD35" i="8"/>
  <c r="DB35" i="8"/>
  <c r="DA35" i="8"/>
  <c r="CY35" i="8"/>
  <c r="CX35" i="8"/>
  <c r="CV35" i="8"/>
  <c r="CU35" i="8"/>
  <c r="CS35" i="8"/>
  <c r="CR35" i="8"/>
  <c r="CP35" i="8"/>
  <c r="CO35" i="8"/>
  <c r="CM35" i="8"/>
  <c r="CL35" i="8"/>
  <c r="CJ35" i="8"/>
  <c r="CI35" i="8"/>
  <c r="CG35" i="8"/>
  <c r="CF35" i="8"/>
  <c r="CD35" i="8"/>
  <c r="CC35" i="8"/>
  <c r="CA35" i="8"/>
  <c r="BZ35" i="8"/>
  <c r="BX35" i="8"/>
  <c r="BW35" i="8"/>
  <c r="BU35" i="8"/>
  <c r="BT35" i="8"/>
  <c r="BR35" i="8"/>
  <c r="BQ35" i="8"/>
  <c r="BO35" i="8"/>
  <c r="BN35" i="8"/>
  <c r="BL35" i="8"/>
  <c r="BK35" i="8"/>
  <c r="BI35" i="8"/>
  <c r="BH35" i="8"/>
  <c r="BF35" i="8"/>
  <c r="BE35" i="8"/>
  <c r="BC35" i="8"/>
  <c r="BB35" i="8"/>
  <c r="AZ35" i="8"/>
  <c r="AY35" i="8"/>
  <c r="AW35" i="8"/>
  <c r="AV35" i="8"/>
  <c r="AT35" i="8"/>
  <c r="AS35" i="8"/>
  <c r="AQ35" i="8"/>
  <c r="AP35" i="8"/>
  <c r="AN35" i="8"/>
  <c r="AM35" i="8"/>
  <c r="AK35" i="8"/>
  <c r="AJ35" i="8"/>
  <c r="AH35" i="8"/>
  <c r="AG35" i="8"/>
  <c r="AE35" i="8"/>
  <c r="AD35" i="8"/>
  <c r="AB35" i="8"/>
  <c r="AA35" i="8"/>
  <c r="Y35" i="8"/>
  <c r="X35" i="8"/>
  <c r="V35" i="8"/>
  <c r="U35" i="8"/>
  <c r="S35" i="8"/>
  <c r="R35" i="8"/>
  <c r="P35" i="8"/>
  <c r="O35" i="8"/>
  <c r="M35" i="8"/>
  <c r="L35" i="8"/>
  <c r="J35" i="8"/>
  <c r="I35" i="8"/>
  <c r="EO34" i="8"/>
  <c r="EN34" i="8"/>
  <c r="EL34" i="8"/>
  <c r="EK34" i="8"/>
  <c r="EI34" i="8"/>
  <c r="EH34" i="8"/>
  <c r="EF34" i="8"/>
  <c r="EE34" i="8"/>
  <c r="EC34" i="8"/>
  <c r="EB34" i="8"/>
  <c r="DZ34" i="8"/>
  <c r="DY34" i="8"/>
  <c r="DW34" i="8"/>
  <c r="DV34" i="8"/>
  <c r="DT34" i="8"/>
  <c r="DS34" i="8"/>
  <c r="DQ34" i="8"/>
  <c r="DP34" i="8"/>
  <c r="DN34" i="8"/>
  <c r="DM34" i="8"/>
  <c r="DK34" i="8"/>
  <c r="DJ34" i="8"/>
  <c r="DH34" i="8"/>
  <c r="DG34" i="8"/>
  <c r="DE34" i="8"/>
  <c r="DD34" i="8"/>
  <c r="DB34" i="8"/>
  <c r="DA34" i="8"/>
  <c r="CY34" i="8"/>
  <c r="CX34" i="8"/>
  <c r="CV34" i="8"/>
  <c r="CU34" i="8"/>
  <c r="CS34" i="8"/>
  <c r="CR34" i="8"/>
  <c r="CP34" i="8"/>
  <c r="CO34" i="8"/>
  <c r="CM34" i="8"/>
  <c r="CL34" i="8"/>
  <c r="CJ34" i="8"/>
  <c r="CI34" i="8"/>
  <c r="CG34" i="8"/>
  <c r="CF34" i="8"/>
  <c r="CD34" i="8"/>
  <c r="CC34" i="8"/>
  <c r="CA34" i="8"/>
  <c r="BZ34" i="8"/>
  <c r="BX34" i="8"/>
  <c r="BW34" i="8"/>
  <c r="BU34" i="8"/>
  <c r="BT34" i="8"/>
  <c r="BR34" i="8"/>
  <c r="BQ34" i="8"/>
  <c r="BO34" i="8"/>
  <c r="BN34" i="8"/>
  <c r="BL34" i="8"/>
  <c r="BK34" i="8"/>
  <c r="BI34" i="8"/>
  <c r="BH34" i="8"/>
  <c r="BF34" i="8"/>
  <c r="BE34" i="8"/>
  <c r="BC34" i="8"/>
  <c r="BB34" i="8"/>
  <c r="AZ34" i="8"/>
  <c r="AY34" i="8"/>
  <c r="AW34" i="8"/>
  <c r="AV34" i="8"/>
  <c r="AT34" i="8"/>
  <c r="AS34" i="8"/>
  <c r="AQ34" i="8"/>
  <c r="AP34" i="8"/>
  <c r="AN34" i="8"/>
  <c r="AM34" i="8"/>
  <c r="AK34" i="8"/>
  <c r="AJ34" i="8"/>
  <c r="AH34" i="8"/>
  <c r="AG34" i="8"/>
  <c r="AE34" i="8"/>
  <c r="AD34" i="8"/>
  <c r="AB34" i="8"/>
  <c r="AA34" i="8"/>
  <c r="Y34" i="8"/>
  <c r="X34" i="8"/>
  <c r="V34" i="8"/>
  <c r="U34" i="8"/>
  <c r="S34" i="8"/>
  <c r="R34" i="8"/>
  <c r="P34" i="8"/>
  <c r="O34" i="8"/>
  <c r="M34" i="8"/>
  <c r="L34" i="8"/>
  <c r="J34" i="8"/>
  <c r="I34" i="8"/>
  <c r="EO33" i="8"/>
  <c r="EN33" i="8"/>
  <c r="EL33" i="8"/>
  <c r="EK33" i="8"/>
  <c r="EI33" i="8"/>
  <c r="EH33" i="8"/>
  <c r="EF33" i="8"/>
  <c r="EE33" i="8"/>
  <c r="EC33" i="8"/>
  <c r="EB33" i="8"/>
  <c r="DZ33" i="8"/>
  <c r="DY33" i="8"/>
  <c r="DW33" i="8"/>
  <c r="DV33" i="8"/>
  <c r="DT33" i="8"/>
  <c r="DS33" i="8"/>
  <c r="DQ33" i="8"/>
  <c r="DP33" i="8"/>
  <c r="DN33" i="8"/>
  <c r="DM33" i="8"/>
  <c r="DK33" i="8"/>
  <c r="DJ33" i="8"/>
  <c r="DH33" i="8"/>
  <c r="DG33" i="8"/>
  <c r="DE33" i="8"/>
  <c r="DD33" i="8"/>
  <c r="DB33" i="8"/>
  <c r="DA33" i="8"/>
  <c r="CY33" i="8"/>
  <c r="CX33" i="8"/>
  <c r="CV33" i="8"/>
  <c r="CU33" i="8"/>
  <c r="CS33" i="8"/>
  <c r="CR33" i="8"/>
  <c r="CP33" i="8"/>
  <c r="CO33" i="8"/>
  <c r="CM33" i="8"/>
  <c r="CL33" i="8"/>
  <c r="CJ33" i="8"/>
  <c r="CI33" i="8"/>
  <c r="CG33" i="8"/>
  <c r="CF33" i="8"/>
  <c r="CD33" i="8"/>
  <c r="CC33" i="8"/>
  <c r="CA33" i="8"/>
  <c r="BZ33" i="8"/>
  <c r="BX33" i="8"/>
  <c r="BW33" i="8"/>
  <c r="BU33" i="8"/>
  <c r="BT33" i="8"/>
  <c r="BR33" i="8"/>
  <c r="BQ33" i="8"/>
  <c r="BO33" i="8"/>
  <c r="BN33" i="8"/>
  <c r="BL33" i="8"/>
  <c r="BK33" i="8"/>
  <c r="BI33" i="8"/>
  <c r="BH33" i="8"/>
  <c r="BF33" i="8"/>
  <c r="BE33" i="8"/>
  <c r="BC33" i="8"/>
  <c r="BB33" i="8"/>
  <c r="AZ33" i="8"/>
  <c r="AY33" i="8"/>
  <c r="AW33" i="8"/>
  <c r="AV33" i="8"/>
  <c r="AT33" i="8"/>
  <c r="AS33" i="8"/>
  <c r="AQ33" i="8"/>
  <c r="AP33" i="8"/>
  <c r="AN33" i="8"/>
  <c r="AM33" i="8"/>
  <c r="AK33" i="8"/>
  <c r="AJ33" i="8"/>
  <c r="AH33" i="8"/>
  <c r="AG33" i="8"/>
  <c r="AE33" i="8"/>
  <c r="AD33" i="8"/>
  <c r="AB33" i="8"/>
  <c r="AA33" i="8"/>
  <c r="Y33" i="8"/>
  <c r="X33" i="8"/>
  <c r="V33" i="8"/>
  <c r="U33" i="8"/>
  <c r="S33" i="8"/>
  <c r="R33" i="8"/>
  <c r="P33" i="8"/>
  <c r="O33" i="8"/>
  <c r="M33" i="8"/>
  <c r="L33" i="8"/>
  <c r="J33" i="8"/>
  <c r="I33" i="8"/>
  <c r="EO32" i="8"/>
  <c r="EN32" i="8"/>
  <c r="EL32" i="8"/>
  <c r="EK32" i="8"/>
  <c r="EI32" i="8"/>
  <c r="EH32" i="8"/>
  <c r="EF32" i="8"/>
  <c r="EE32" i="8"/>
  <c r="EC32" i="8"/>
  <c r="EB32" i="8"/>
  <c r="DZ32" i="8"/>
  <c r="DY32" i="8"/>
  <c r="DW32" i="8"/>
  <c r="DV32" i="8"/>
  <c r="DT32" i="8"/>
  <c r="DS32" i="8"/>
  <c r="DQ32" i="8"/>
  <c r="DP32" i="8"/>
  <c r="DN32" i="8"/>
  <c r="DM32" i="8"/>
  <c r="DK32" i="8"/>
  <c r="DJ32" i="8"/>
  <c r="DH32" i="8"/>
  <c r="DG32" i="8"/>
  <c r="DE32" i="8"/>
  <c r="DD32" i="8"/>
  <c r="DB32" i="8"/>
  <c r="DA32" i="8"/>
  <c r="CY32" i="8"/>
  <c r="CX32" i="8"/>
  <c r="CV32" i="8"/>
  <c r="CU32" i="8"/>
  <c r="CS32" i="8"/>
  <c r="CR32" i="8"/>
  <c r="CP32" i="8"/>
  <c r="CO32" i="8"/>
  <c r="CM32" i="8"/>
  <c r="CL32" i="8"/>
  <c r="CJ32" i="8"/>
  <c r="CI32" i="8"/>
  <c r="CG32" i="8"/>
  <c r="CF32" i="8"/>
  <c r="CD32" i="8"/>
  <c r="CC32" i="8"/>
  <c r="CA32" i="8"/>
  <c r="BZ32" i="8"/>
  <c r="BX32" i="8"/>
  <c r="BW32" i="8"/>
  <c r="BU32" i="8"/>
  <c r="BT32" i="8"/>
  <c r="BR32" i="8"/>
  <c r="BQ32" i="8"/>
  <c r="BO32" i="8"/>
  <c r="BN32" i="8"/>
  <c r="BL32" i="8"/>
  <c r="BK32" i="8"/>
  <c r="BI32" i="8"/>
  <c r="BH32" i="8"/>
  <c r="BF32" i="8"/>
  <c r="BE32" i="8"/>
  <c r="BC32" i="8"/>
  <c r="BB32" i="8"/>
  <c r="AZ32" i="8"/>
  <c r="AY32" i="8"/>
  <c r="AW32" i="8"/>
  <c r="AV32" i="8"/>
  <c r="AT32" i="8"/>
  <c r="AS32" i="8"/>
  <c r="AQ32" i="8"/>
  <c r="AP32" i="8"/>
  <c r="AN32" i="8"/>
  <c r="AM32" i="8"/>
  <c r="AK32" i="8"/>
  <c r="AJ32" i="8"/>
  <c r="AH32" i="8"/>
  <c r="AG32" i="8"/>
  <c r="AE32" i="8"/>
  <c r="AD32" i="8"/>
  <c r="AB32" i="8"/>
  <c r="AA32" i="8"/>
  <c r="Y32" i="8"/>
  <c r="X32" i="8"/>
  <c r="V32" i="8"/>
  <c r="U32" i="8"/>
  <c r="S32" i="8"/>
  <c r="R32" i="8"/>
  <c r="P32" i="8"/>
  <c r="O32" i="8"/>
  <c r="M32" i="8"/>
  <c r="L32" i="8"/>
  <c r="J32" i="8"/>
  <c r="I32" i="8"/>
  <c r="EO31" i="8"/>
  <c r="EN31" i="8"/>
  <c r="EL31" i="8"/>
  <c r="EK31" i="8"/>
  <c r="EI31" i="8"/>
  <c r="EH31" i="8"/>
  <c r="EF31" i="8"/>
  <c r="EE31" i="8"/>
  <c r="EC31" i="8"/>
  <c r="EB31" i="8"/>
  <c r="DZ31" i="8"/>
  <c r="DY31" i="8"/>
  <c r="DW31" i="8"/>
  <c r="DV31" i="8"/>
  <c r="DT31" i="8"/>
  <c r="DS31" i="8"/>
  <c r="DQ31" i="8"/>
  <c r="DP31" i="8"/>
  <c r="DN31" i="8"/>
  <c r="DM31" i="8"/>
  <c r="DK31" i="8"/>
  <c r="DJ31" i="8"/>
  <c r="DH31" i="8"/>
  <c r="DG31" i="8"/>
  <c r="DE31" i="8"/>
  <c r="DD31" i="8"/>
  <c r="DB31" i="8"/>
  <c r="DA31" i="8"/>
  <c r="CY31" i="8"/>
  <c r="CX31" i="8"/>
  <c r="CV31" i="8"/>
  <c r="CU31" i="8"/>
  <c r="CS31" i="8"/>
  <c r="CR31" i="8"/>
  <c r="CP31" i="8"/>
  <c r="CO31" i="8"/>
  <c r="CM31" i="8"/>
  <c r="CL31" i="8"/>
  <c r="CJ31" i="8"/>
  <c r="CI31" i="8"/>
  <c r="CG31" i="8"/>
  <c r="CF31" i="8"/>
  <c r="CD31" i="8"/>
  <c r="CC31" i="8"/>
  <c r="CA31" i="8"/>
  <c r="BZ31" i="8"/>
  <c r="BX31" i="8"/>
  <c r="BW31" i="8"/>
  <c r="BU31" i="8"/>
  <c r="BT31" i="8"/>
  <c r="BR31" i="8"/>
  <c r="BQ31" i="8"/>
  <c r="BO31" i="8"/>
  <c r="BN31" i="8"/>
  <c r="BL31" i="8"/>
  <c r="BK31" i="8"/>
  <c r="BI31" i="8"/>
  <c r="BH31" i="8"/>
  <c r="BF31" i="8"/>
  <c r="BE31" i="8"/>
  <c r="BC31" i="8"/>
  <c r="BB31" i="8"/>
  <c r="AZ31" i="8"/>
  <c r="AY31" i="8"/>
  <c r="AW31" i="8"/>
  <c r="AV31" i="8"/>
  <c r="AT31" i="8"/>
  <c r="AS31" i="8"/>
  <c r="AQ31" i="8"/>
  <c r="AP31" i="8"/>
  <c r="AN31" i="8"/>
  <c r="AM31" i="8"/>
  <c r="AK31" i="8"/>
  <c r="AJ31" i="8"/>
  <c r="AH31" i="8"/>
  <c r="AG31" i="8"/>
  <c r="AE31" i="8"/>
  <c r="AD31" i="8"/>
  <c r="AB31" i="8"/>
  <c r="AA31" i="8"/>
  <c r="Y31" i="8"/>
  <c r="X31" i="8"/>
  <c r="V31" i="8"/>
  <c r="U31" i="8"/>
  <c r="S31" i="8"/>
  <c r="R31" i="8"/>
  <c r="P31" i="8"/>
  <c r="O31" i="8"/>
  <c r="M31" i="8"/>
  <c r="L31" i="8"/>
  <c r="J31" i="8"/>
  <c r="I31" i="8"/>
  <c r="EO30" i="8"/>
  <c r="EN30" i="8"/>
  <c r="EL30" i="8"/>
  <c r="EK30" i="8"/>
  <c r="EI30" i="8"/>
  <c r="EH30" i="8"/>
  <c r="EF30" i="8"/>
  <c r="EE30" i="8"/>
  <c r="EC30" i="8"/>
  <c r="EB30" i="8"/>
  <c r="DZ30" i="8"/>
  <c r="DY30" i="8"/>
  <c r="DW30" i="8"/>
  <c r="DV30" i="8"/>
  <c r="DT30" i="8"/>
  <c r="DS30" i="8"/>
  <c r="DQ30" i="8"/>
  <c r="DP30" i="8"/>
  <c r="DN30" i="8"/>
  <c r="DM30" i="8"/>
  <c r="DK30" i="8"/>
  <c r="DJ30" i="8"/>
  <c r="DH30" i="8"/>
  <c r="DG30" i="8"/>
  <c r="DE30" i="8"/>
  <c r="DD30" i="8"/>
  <c r="DB30" i="8"/>
  <c r="DA30" i="8"/>
  <c r="CY30" i="8"/>
  <c r="CX30" i="8"/>
  <c r="CV30" i="8"/>
  <c r="CU30" i="8"/>
  <c r="CS30" i="8"/>
  <c r="CR30" i="8"/>
  <c r="CP30" i="8"/>
  <c r="CO30" i="8"/>
  <c r="CM30" i="8"/>
  <c r="CL30" i="8"/>
  <c r="CJ30" i="8"/>
  <c r="CI30" i="8"/>
  <c r="CG30" i="8"/>
  <c r="CF30" i="8"/>
  <c r="CD30" i="8"/>
  <c r="CC30" i="8"/>
  <c r="CA30" i="8"/>
  <c r="BZ30" i="8"/>
  <c r="BX30" i="8"/>
  <c r="BW30" i="8"/>
  <c r="BU30" i="8"/>
  <c r="BT30" i="8"/>
  <c r="BR30" i="8"/>
  <c r="BQ30" i="8"/>
  <c r="BO30" i="8"/>
  <c r="BN30" i="8"/>
  <c r="BL30" i="8"/>
  <c r="BK30" i="8"/>
  <c r="BI30" i="8"/>
  <c r="BH30" i="8"/>
  <c r="BF30" i="8"/>
  <c r="BE30" i="8"/>
  <c r="BC30" i="8"/>
  <c r="BB30" i="8"/>
  <c r="AZ30" i="8"/>
  <c r="AY30" i="8"/>
  <c r="AW30" i="8"/>
  <c r="AV30" i="8"/>
  <c r="AT30" i="8"/>
  <c r="AS30" i="8"/>
  <c r="AQ30" i="8"/>
  <c r="AP30" i="8"/>
  <c r="AN30" i="8"/>
  <c r="AM30" i="8"/>
  <c r="AK30" i="8"/>
  <c r="AJ30" i="8"/>
  <c r="AH30" i="8"/>
  <c r="AG30" i="8"/>
  <c r="AE30" i="8"/>
  <c r="AD30" i="8"/>
  <c r="AB30" i="8"/>
  <c r="AA30" i="8"/>
  <c r="Y30" i="8"/>
  <c r="X30" i="8"/>
  <c r="V30" i="8"/>
  <c r="U30" i="8"/>
  <c r="S30" i="8"/>
  <c r="R30" i="8"/>
  <c r="P30" i="8"/>
  <c r="O30" i="8"/>
  <c r="M30" i="8"/>
  <c r="L30" i="8"/>
  <c r="J30" i="8"/>
  <c r="I30" i="8"/>
  <c r="EO29" i="8"/>
  <c r="EN29" i="8"/>
  <c r="EL29" i="8"/>
  <c r="EK29" i="8"/>
  <c r="EI29" i="8"/>
  <c r="EH29" i="8"/>
  <c r="EF29" i="8"/>
  <c r="EE29" i="8"/>
  <c r="EC29" i="8"/>
  <c r="EB29" i="8"/>
  <c r="DZ29" i="8"/>
  <c r="DY29" i="8"/>
  <c r="DW29" i="8"/>
  <c r="DV29" i="8"/>
  <c r="DT29" i="8"/>
  <c r="DS29" i="8"/>
  <c r="DQ29" i="8"/>
  <c r="DP29" i="8"/>
  <c r="DN29" i="8"/>
  <c r="DM29" i="8"/>
  <c r="DK29" i="8"/>
  <c r="DJ29" i="8"/>
  <c r="DH29" i="8"/>
  <c r="DG29" i="8"/>
  <c r="DE29" i="8"/>
  <c r="DD29" i="8"/>
  <c r="DB29" i="8"/>
  <c r="DA29" i="8"/>
  <c r="CY29" i="8"/>
  <c r="CX29" i="8"/>
  <c r="CV29" i="8"/>
  <c r="CU29" i="8"/>
  <c r="CS29" i="8"/>
  <c r="CR29" i="8"/>
  <c r="CP29" i="8"/>
  <c r="CO29" i="8"/>
  <c r="CM29" i="8"/>
  <c r="CL29" i="8"/>
  <c r="CJ29" i="8"/>
  <c r="CI29" i="8"/>
  <c r="CG29" i="8"/>
  <c r="CF29" i="8"/>
  <c r="CD29" i="8"/>
  <c r="CC29" i="8"/>
  <c r="CA29" i="8"/>
  <c r="BZ29" i="8"/>
  <c r="BX29" i="8"/>
  <c r="BW29" i="8"/>
  <c r="BU29" i="8"/>
  <c r="BT29" i="8"/>
  <c r="BR29" i="8"/>
  <c r="BQ29" i="8"/>
  <c r="BO29" i="8"/>
  <c r="BN29" i="8"/>
  <c r="BL29" i="8"/>
  <c r="BK29" i="8"/>
  <c r="BI29" i="8"/>
  <c r="BH29" i="8"/>
  <c r="BF29" i="8"/>
  <c r="BE29" i="8"/>
  <c r="BC29" i="8"/>
  <c r="BB29" i="8"/>
  <c r="AZ29" i="8"/>
  <c r="AY29" i="8"/>
  <c r="AW29" i="8"/>
  <c r="AV29" i="8"/>
  <c r="AT29" i="8"/>
  <c r="AS29" i="8"/>
  <c r="AQ29" i="8"/>
  <c r="AP29" i="8"/>
  <c r="AN29" i="8"/>
  <c r="AM29" i="8"/>
  <c r="AK29" i="8"/>
  <c r="AJ29" i="8"/>
  <c r="AH29" i="8"/>
  <c r="AG29" i="8"/>
  <c r="AE29" i="8"/>
  <c r="AD29" i="8"/>
  <c r="AB29" i="8"/>
  <c r="AA29" i="8"/>
  <c r="Y29" i="8"/>
  <c r="X29" i="8"/>
  <c r="V29" i="8"/>
  <c r="U29" i="8"/>
  <c r="S29" i="8"/>
  <c r="R29" i="8"/>
  <c r="P29" i="8"/>
  <c r="O29" i="8"/>
  <c r="M29" i="8"/>
  <c r="L29" i="8"/>
  <c r="J29" i="8"/>
  <c r="I29" i="8"/>
  <c r="EO28" i="8"/>
  <c r="EN28" i="8"/>
  <c r="EL28" i="8"/>
  <c r="EK28" i="8"/>
  <c r="EI28" i="8"/>
  <c r="EH28" i="8"/>
  <c r="EF28" i="8"/>
  <c r="EE28" i="8"/>
  <c r="EC28" i="8"/>
  <c r="EB28" i="8"/>
  <c r="DZ28" i="8"/>
  <c r="DY28" i="8"/>
  <c r="DW28" i="8"/>
  <c r="DV28" i="8"/>
  <c r="DT28" i="8"/>
  <c r="DS28" i="8"/>
  <c r="DQ28" i="8"/>
  <c r="DP28" i="8"/>
  <c r="DN28" i="8"/>
  <c r="DM28" i="8"/>
  <c r="DK28" i="8"/>
  <c r="DJ28" i="8"/>
  <c r="DH28" i="8"/>
  <c r="DG28" i="8"/>
  <c r="DE28" i="8"/>
  <c r="DD28" i="8"/>
  <c r="DB28" i="8"/>
  <c r="DA28" i="8"/>
  <c r="CY28" i="8"/>
  <c r="CX28" i="8"/>
  <c r="CV28" i="8"/>
  <c r="CU28" i="8"/>
  <c r="CS28" i="8"/>
  <c r="CR28" i="8"/>
  <c r="CP28" i="8"/>
  <c r="CO28" i="8"/>
  <c r="CM28" i="8"/>
  <c r="CL28" i="8"/>
  <c r="CJ28" i="8"/>
  <c r="CI28" i="8"/>
  <c r="CG28" i="8"/>
  <c r="CF28" i="8"/>
  <c r="CD28" i="8"/>
  <c r="CC28" i="8"/>
  <c r="CA28" i="8"/>
  <c r="BZ28" i="8"/>
  <c r="BX28" i="8"/>
  <c r="BW28" i="8"/>
  <c r="BU28" i="8"/>
  <c r="BT28" i="8"/>
  <c r="BR28" i="8"/>
  <c r="BQ28" i="8"/>
  <c r="BO28" i="8"/>
  <c r="BN28" i="8"/>
  <c r="BL28" i="8"/>
  <c r="BK28" i="8"/>
  <c r="BI28" i="8"/>
  <c r="BH28" i="8"/>
  <c r="BF28" i="8"/>
  <c r="BE28" i="8"/>
  <c r="BC28" i="8"/>
  <c r="BB28" i="8"/>
  <c r="AZ28" i="8"/>
  <c r="AY28" i="8"/>
  <c r="AW28" i="8"/>
  <c r="AV28" i="8"/>
  <c r="AT28" i="8"/>
  <c r="AS28" i="8"/>
  <c r="AQ28" i="8"/>
  <c r="AP28" i="8"/>
  <c r="AN28" i="8"/>
  <c r="AM28" i="8"/>
  <c r="AK28" i="8"/>
  <c r="AJ28" i="8"/>
  <c r="AH28" i="8"/>
  <c r="AG28" i="8"/>
  <c r="AE28" i="8"/>
  <c r="AD28" i="8"/>
  <c r="AB28" i="8"/>
  <c r="AA28" i="8"/>
  <c r="Y28" i="8"/>
  <c r="X28" i="8"/>
  <c r="V28" i="8"/>
  <c r="U28" i="8"/>
  <c r="S28" i="8"/>
  <c r="R28" i="8"/>
  <c r="P28" i="8"/>
  <c r="O28" i="8"/>
  <c r="M28" i="8"/>
  <c r="L28" i="8"/>
  <c r="J28" i="8"/>
  <c r="I28" i="8"/>
  <c r="EO27" i="8"/>
  <c r="EN27" i="8"/>
  <c r="EL27" i="8"/>
  <c r="EK27" i="8"/>
  <c r="EI27" i="8"/>
  <c r="EH27" i="8"/>
  <c r="EF27" i="8"/>
  <c r="EE27" i="8"/>
  <c r="EC27" i="8"/>
  <c r="EB27" i="8"/>
  <c r="DZ27" i="8"/>
  <c r="DY27" i="8"/>
  <c r="DW27" i="8"/>
  <c r="DV27" i="8"/>
  <c r="DT27" i="8"/>
  <c r="DS27" i="8"/>
  <c r="DQ27" i="8"/>
  <c r="DP27" i="8"/>
  <c r="DN27" i="8"/>
  <c r="DM27" i="8"/>
  <c r="DK27" i="8"/>
  <c r="DJ27" i="8"/>
  <c r="DH27" i="8"/>
  <c r="DG27" i="8"/>
  <c r="DE27" i="8"/>
  <c r="DD27" i="8"/>
  <c r="DB27" i="8"/>
  <c r="DA27" i="8"/>
  <c r="CY27" i="8"/>
  <c r="CX27" i="8"/>
  <c r="CV27" i="8"/>
  <c r="CU27" i="8"/>
  <c r="CS27" i="8"/>
  <c r="CR27" i="8"/>
  <c r="CP27" i="8"/>
  <c r="CO27" i="8"/>
  <c r="CM27" i="8"/>
  <c r="CL27" i="8"/>
  <c r="CJ27" i="8"/>
  <c r="CI27" i="8"/>
  <c r="CG27" i="8"/>
  <c r="CF27" i="8"/>
  <c r="CD27" i="8"/>
  <c r="CC27" i="8"/>
  <c r="CA27" i="8"/>
  <c r="BZ27" i="8"/>
  <c r="BX27" i="8"/>
  <c r="BW27" i="8"/>
  <c r="BU27" i="8"/>
  <c r="BT27" i="8"/>
  <c r="BR27" i="8"/>
  <c r="BQ27" i="8"/>
  <c r="BO27" i="8"/>
  <c r="BN27" i="8"/>
  <c r="BL27" i="8"/>
  <c r="BK27" i="8"/>
  <c r="BI27" i="8"/>
  <c r="BH27" i="8"/>
  <c r="BF27" i="8"/>
  <c r="BE27" i="8"/>
  <c r="BC27" i="8"/>
  <c r="BB27" i="8"/>
  <c r="AZ27" i="8"/>
  <c r="AY27" i="8"/>
  <c r="AW27" i="8"/>
  <c r="AV27" i="8"/>
  <c r="AT27" i="8"/>
  <c r="AS27" i="8"/>
  <c r="AQ27" i="8"/>
  <c r="AP27" i="8"/>
  <c r="AN27" i="8"/>
  <c r="AM27" i="8"/>
  <c r="AK27" i="8"/>
  <c r="AJ27" i="8"/>
  <c r="AH27" i="8"/>
  <c r="AG27" i="8"/>
  <c r="AE27" i="8"/>
  <c r="AD27" i="8"/>
  <c r="AB27" i="8"/>
  <c r="AA27" i="8"/>
  <c r="Y27" i="8"/>
  <c r="X27" i="8"/>
  <c r="V27" i="8"/>
  <c r="U27" i="8"/>
  <c r="S27" i="8"/>
  <c r="R27" i="8"/>
  <c r="P27" i="8"/>
  <c r="O27" i="8"/>
  <c r="M27" i="8"/>
  <c r="L27" i="8"/>
  <c r="J27" i="8"/>
  <c r="I27" i="8"/>
  <c r="EO26" i="8"/>
  <c r="EN26" i="8"/>
  <c r="EL26" i="8"/>
  <c r="EK26" i="8"/>
  <c r="EI26" i="8"/>
  <c r="EH26" i="8"/>
  <c r="EF26" i="8"/>
  <c r="EE26" i="8"/>
  <c r="EC26" i="8"/>
  <c r="EB26" i="8"/>
  <c r="DZ26" i="8"/>
  <c r="DY26" i="8"/>
  <c r="DW26" i="8"/>
  <c r="DV26" i="8"/>
  <c r="DT26" i="8"/>
  <c r="DS26" i="8"/>
  <c r="DQ26" i="8"/>
  <c r="DP26" i="8"/>
  <c r="DN26" i="8"/>
  <c r="DM26" i="8"/>
  <c r="DK26" i="8"/>
  <c r="DJ26" i="8"/>
  <c r="DH26" i="8"/>
  <c r="DG26" i="8"/>
  <c r="DE26" i="8"/>
  <c r="DD26" i="8"/>
  <c r="DB26" i="8"/>
  <c r="DA26" i="8"/>
  <c r="CY26" i="8"/>
  <c r="CX26" i="8"/>
  <c r="CV26" i="8"/>
  <c r="CU26" i="8"/>
  <c r="CS26" i="8"/>
  <c r="CR26" i="8"/>
  <c r="CP26" i="8"/>
  <c r="CO26" i="8"/>
  <c r="CM26" i="8"/>
  <c r="CL26" i="8"/>
  <c r="CJ26" i="8"/>
  <c r="CI26" i="8"/>
  <c r="CG26" i="8"/>
  <c r="CF26" i="8"/>
  <c r="CD26" i="8"/>
  <c r="CC26" i="8"/>
  <c r="CA26" i="8"/>
  <c r="BZ26" i="8"/>
  <c r="BX26" i="8"/>
  <c r="BW26" i="8"/>
  <c r="BU26" i="8"/>
  <c r="BT26" i="8"/>
  <c r="BR26" i="8"/>
  <c r="BQ26" i="8"/>
  <c r="BO26" i="8"/>
  <c r="BN26" i="8"/>
  <c r="BL26" i="8"/>
  <c r="BK26" i="8"/>
  <c r="BI26" i="8"/>
  <c r="BH26" i="8"/>
  <c r="BF26" i="8"/>
  <c r="BE26" i="8"/>
  <c r="BC26" i="8"/>
  <c r="BB26" i="8"/>
  <c r="AZ26" i="8"/>
  <c r="AY26" i="8"/>
  <c r="AW26" i="8"/>
  <c r="AV26" i="8"/>
  <c r="AT26" i="8"/>
  <c r="AS26" i="8"/>
  <c r="AQ26" i="8"/>
  <c r="AP26" i="8"/>
  <c r="AN26" i="8"/>
  <c r="AM26" i="8"/>
  <c r="AK26" i="8"/>
  <c r="AJ26" i="8"/>
  <c r="AH26" i="8"/>
  <c r="AG26" i="8"/>
  <c r="AE26" i="8"/>
  <c r="AD26" i="8"/>
  <c r="AB26" i="8"/>
  <c r="AA26" i="8"/>
  <c r="Y26" i="8"/>
  <c r="X26" i="8"/>
  <c r="V26" i="8"/>
  <c r="U26" i="8"/>
  <c r="S26" i="8"/>
  <c r="R26" i="8"/>
  <c r="P26" i="8"/>
  <c r="O26" i="8"/>
  <c r="M26" i="8"/>
  <c r="L26" i="8"/>
  <c r="J26" i="8"/>
  <c r="I26" i="8"/>
  <c r="EO25" i="8"/>
  <c r="EN25" i="8"/>
  <c r="EL25" i="8"/>
  <c r="EK25" i="8"/>
  <c r="EI25" i="8"/>
  <c r="EH25" i="8"/>
  <c r="EF25" i="8"/>
  <c r="EE25" i="8"/>
  <c r="EC25" i="8"/>
  <c r="EB25" i="8"/>
  <c r="DZ25" i="8"/>
  <c r="DY25" i="8"/>
  <c r="DW25" i="8"/>
  <c r="DV25" i="8"/>
  <c r="DT25" i="8"/>
  <c r="DS25" i="8"/>
  <c r="DQ25" i="8"/>
  <c r="DP25" i="8"/>
  <c r="DN25" i="8"/>
  <c r="DM25" i="8"/>
  <c r="DK25" i="8"/>
  <c r="DJ25" i="8"/>
  <c r="DH25" i="8"/>
  <c r="DG25" i="8"/>
  <c r="DE25" i="8"/>
  <c r="DD25" i="8"/>
  <c r="DB25" i="8"/>
  <c r="DA25" i="8"/>
  <c r="CY25" i="8"/>
  <c r="CX25" i="8"/>
  <c r="CV25" i="8"/>
  <c r="CU25" i="8"/>
  <c r="CS25" i="8"/>
  <c r="CR25" i="8"/>
  <c r="CP25" i="8"/>
  <c r="CO25" i="8"/>
  <c r="CM25" i="8"/>
  <c r="CL25" i="8"/>
  <c r="CJ25" i="8"/>
  <c r="CI25" i="8"/>
  <c r="CG25" i="8"/>
  <c r="CF25" i="8"/>
  <c r="CD25" i="8"/>
  <c r="CC25" i="8"/>
  <c r="CA25" i="8"/>
  <c r="BZ25" i="8"/>
  <c r="BX25" i="8"/>
  <c r="BW25" i="8"/>
  <c r="BU25" i="8"/>
  <c r="BT25" i="8"/>
  <c r="BR25" i="8"/>
  <c r="BQ25" i="8"/>
  <c r="BO25" i="8"/>
  <c r="BN25" i="8"/>
  <c r="BL25" i="8"/>
  <c r="BK25" i="8"/>
  <c r="BI25" i="8"/>
  <c r="BH25" i="8"/>
  <c r="BF25" i="8"/>
  <c r="BE25" i="8"/>
  <c r="BC25" i="8"/>
  <c r="BB25" i="8"/>
  <c r="AZ25" i="8"/>
  <c r="AY25" i="8"/>
  <c r="AW25" i="8"/>
  <c r="AV25" i="8"/>
  <c r="AT25" i="8"/>
  <c r="AS25" i="8"/>
  <c r="AQ25" i="8"/>
  <c r="AP25" i="8"/>
  <c r="AN25" i="8"/>
  <c r="AM25" i="8"/>
  <c r="AK25" i="8"/>
  <c r="AJ25" i="8"/>
  <c r="AH25" i="8"/>
  <c r="AG25" i="8"/>
  <c r="AE25" i="8"/>
  <c r="AD25" i="8"/>
  <c r="AB25" i="8"/>
  <c r="AA25" i="8"/>
  <c r="Y25" i="8"/>
  <c r="X25" i="8"/>
  <c r="V25" i="8"/>
  <c r="U25" i="8"/>
  <c r="S25" i="8"/>
  <c r="R25" i="8"/>
  <c r="P25" i="8"/>
  <c r="O25" i="8"/>
  <c r="M25" i="8"/>
  <c r="L25" i="8"/>
  <c r="J25" i="8"/>
  <c r="I25" i="8"/>
  <c r="EO24" i="8"/>
  <c r="EN24" i="8"/>
  <c r="EL24" i="8"/>
  <c r="EK24" i="8"/>
  <c r="EI24" i="8"/>
  <c r="EH24" i="8"/>
  <c r="EF24" i="8"/>
  <c r="EE24" i="8"/>
  <c r="EC24" i="8"/>
  <c r="EB24" i="8"/>
  <c r="DZ24" i="8"/>
  <c r="DY24" i="8"/>
  <c r="DW24" i="8"/>
  <c r="DV24" i="8"/>
  <c r="DT24" i="8"/>
  <c r="DS24" i="8"/>
  <c r="DQ24" i="8"/>
  <c r="DP24" i="8"/>
  <c r="DN24" i="8"/>
  <c r="DM24" i="8"/>
  <c r="DK24" i="8"/>
  <c r="DJ24" i="8"/>
  <c r="DH24" i="8"/>
  <c r="DG24" i="8"/>
  <c r="DE24" i="8"/>
  <c r="DD24" i="8"/>
  <c r="DB24" i="8"/>
  <c r="DA24" i="8"/>
  <c r="CY24" i="8"/>
  <c r="CX24" i="8"/>
  <c r="CV24" i="8"/>
  <c r="CU24" i="8"/>
  <c r="CS24" i="8"/>
  <c r="CR24" i="8"/>
  <c r="CP24" i="8"/>
  <c r="CO24" i="8"/>
  <c r="CM24" i="8"/>
  <c r="CL24" i="8"/>
  <c r="CJ24" i="8"/>
  <c r="CI24" i="8"/>
  <c r="CG24" i="8"/>
  <c r="CF24" i="8"/>
  <c r="CD24" i="8"/>
  <c r="CC24" i="8"/>
  <c r="CA24" i="8"/>
  <c r="BZ24" i="8"/>
  <c r="BX24" i="8"/>
  <c r="BW24" i="8"/>
  <c r="BU24" i="8"/>
  <c r="BT24" i="8"/>
  <c r="BR24" i="8"/>
  <c r="BQ24" i="8"/>
  <c r="BO24" i="8"/>
  <c r="BN24" i="8"/>
  <c r="BL24" i="8"/>
  <c r="BK24" i="8"/>
  <c r="BI24" i="8"/>
  <c r="BH24" i="8"/>
  <c r="BF24" i="8"/>
  <c r="BE24" i="8"/>
  <c r="BC24" i="8"/>
  <c r="BB24" i="8"/>
  <c r="AZ24" i="8"/>
  <c r="AY24" i="8"/>
  <c r="AW24" i="8"/>
  <c r="AV24" i="8"/>
  <c r="AT24" i="8"/>
  <c r="AS24" i="8"/>
  <c r="AQ24" i="8"/>
  <c r="AP24" i="8"/>
  <c r="AN24" i="8"/>
  <c r="AM24" i="8"/>
  <c r="AK24" i="8"/>
  <c r="AJ24" i="8"/>
  <c r="AH24" i="8"/>
  <c r="AG24" i="8"/>
  <c r="AE24" i="8"/>
  <c r="AD24" i="8"/>
  <c r="AB24" i="8"/>
  <c r="AA24" i="8"/>
  <c r="Y24" i="8"/>
  <c r="X24" i="8"/>
  <c r="V24" i="8"/>
  <c r="U24" i="8"/>
  <c r="S24" i="8"/>
  <c r="R24" i="8"/>
  <c r="P24" i="8"/>
  <c r="O24" i="8"/>
  <c r="M24" i="8"/>
  <c r="L24" i="8"/>
  <c r="J24" i="8"/>
  <c r="I24" i="8"/>
  <c r="EO23" i="8"/>
  <c r="EN23" i="8"/>
  <c r="EL23" i="8"/>
  <c r="EK23" i="8"/>
  <c r="EI23" i="8"/>
  <c r="EH23" i="8"/>
  <c r="EF23" i="8"/>
  <c r="EE23" i="8"/>
  <c r="EC23" i="8"/>
  <c r="EB23" i="8"/>
  <c r="DZ23" i="8"/>
  <c r="DY23" i="8"/>
  <c r="DW23" i="8"/>
  <c r="DV23" i="8"/>
  <c r="DT23" i="8"/>
  <c r="DS23" i="8"/>
  <c r="DQ23" i="8"/>
  <c r="DP23" i="8"/>
  <c r="DN23" i="8"/>
  <c r="DM23" i="8"/>
  <c r="DK23" i="8"/>
  <c r="DJ23" i="8"/>
  <c r="DH23" i="8"/>
  <c r="DG23" i="8"/>
  <c r="DE23" i="8"/>
  <c r="DD23" i="8"/>
  <c r="DB23" i="8"/>
  <c r="DA23" i="8"/>
  <c r="CY23" i="8"/>
  <c r="CX23" i="8"/>
  <c r="CV23" i="8"/>
  <c r="CU23" i="8"/>
  <c r="CS23" i="8"/>
  <c r="CR23" i="8"/>
  <c r="CP23" i="8"/>
  <c r="CO23" i="8"/>
  <c r="CM23" i="8"/>
  <c r="CL23" i="8"/>
  <c r="CJ23" i="8"/>
  <c r="CI23" i="8"/>
  <c r="CG23" i="8"/>
  <c r="CF23" i="8"/>
  <c r="CD23" i="8"/>
  <c r="CC23" i="8"/>
  <c r="CA23" i="8"/>
  <c r="BZ23" i="8"/>
  <c r="BX23" i="8"/>
  <c r="BW23" i="8"/>
  <c r="BU23" i="8"/>
  <c r="BT23" i="8"/>
  <c r="BR23" i="8"/>
  <c r="BQ23" i="8"/>
  <c r="BO23" i="8"/>
  <c r="BN23" i="8"/>
  <c r="BL23" i="8"/>
  <c r="BK23" i="8"/>
  <c r="BI23" i="8"/>
  <c r="BH23" i="8"/>
  <c r="BF23" i="8"/>
  <c r="BE23" i="8"/>
  <c r="BC23" i="8"/>
  <c r="BB23" i="8"/>
  <c r="AZ23" i="8"/>
  <c r="AY23" i="8"/>
  <c r="AW23" i="8"/>
  <c r="AV23" i="8"/>
  <c r="AT23" i="8"/>
  <c r="AS23" i="8"/>
  <c r="AQ23" i="8"/>
  <c r="AP23" i="8"/>
  <c r="AN23" i="8"/>
  <c r="AM23" i="8"/>
  <c r="AK23" i="8"/>
  <c r="AJ23" i="8"/>
  <c r="AH23" i="8"/>
  <c r="AG23" i="8"/>
  <c r="AE23" i="8"/>
  <c r="AD23" i="8"/>
  <c r="AB23" i="8"/>
  <c r="AA23" i="8"/>
  <c r="Y23" i="8"/>
  <c r="X23" i="8"/>
  <c r="V23" i="8"/>
  <c r="U23" i="8"/>
  <c r="S23" i="8"/>
  <c r="R23" i="8"/>
  <c r="P23" i="8"/>
  <c r="O23" i="8"/>
  <c r="M23" i="8"/>
  <c r="L23" i="8"/>
  <c r="J23" i="8"/>
  <c r="I23" i="8"/>
  <c r="EO22" i="8"/>
  <c r="EN22" i="8"/>
  <c r="EL22" i="8"/>
  <c r="EK22" i="8"/>
  <c r="EI22" i="8"/>
  <c r="EH22" i="8"/>
  <c r="EF22" i="8"/>
  <c r="EE22" i="8"/>
  <c r="EC22" i="8"/>
  <c r="EB22" i="8"/>
  <c r="DZ22" i="8"/>
  <c r="DY22" i="8"/>
  <c r="DW22" i="8"/>
  <c r="DV22" i="8"/>
  <c r="DT22" i="8"/>
  <c r="DS22" i="8"/>
  <c r="DQ22" i="8"/>
  <c r="DP22" i="8"/>
  <c r="DN22" i="8"/>
  <c r="DM22" i="8"/>
  <c r="DK22" i="8"/>
  <c r="DJ22" i="8"/>
  <c r="DH22" i="8"/>
  <c r="DG22" i="8"/>
  <c r="DE22" i="8"/>
  <c r="DD22" i="8"/>
  <c r="DB22" i="8"/>
  <c r="DA22" i="8"/>
  <c r="CY22" i="8"/>
  <c r="CX22" i="8"/>
  <c r="CV22" i="8"/>
  <c r="CU22" i="8"/>
  <c r="CS22" i="8"/>
  <c r="CR22" i="8"/>
  <c r="CP22" i="8"/>
  <c r="CO22" i="8"/>
  <c r="CM22" i="8"/>
  <c r="CL22" i="8"/>
  <c r="CJ22" i="8"/>
  <c r="CI22" i="8"/>
  <c r="CG22" i="8"/>
  <c r="CF22" i="8"/>
  <c r="CD22" i="8"/>
  <c r="CC22" i="8"/>
  <c r="CA22" i="8"/>
  <c r="BZ22" i="8"/>
  <c r="BX22" i="8"/>
  <c r="BW22" i="8"/>
  <c r="BU22" i="8"/>
  <c r="BT22" i="8"/>
  <c r="BR22" i="8"/>
  <c r="BQ22" i="8"/>
  <c r="BO22" i="8"/>
  <c r="BN22" i="8"/>
  <c r="BL22" i="8"/>
  <c r="BK22" i="8"/>
  <c r="BI22" i="8"/>
  <c r="BH22" i="8"/>
  <c r="BF22" i="8"/>
  <c r="BE22" i="8"/>
  <c r="BC22" i="8"/>
  <c r="BB22" i="8"/>
  <c r="AZ22" i="8"/>
  <c r="AY22" i="8"/>
  <c r="AW22" i="8"/>
  <c r="AV22" i="8"/>
  <c r="AT22" i="8"/>
  <c r="AS22" i="8"/>
  <c r="AQ22" i="8"/>
  <c r="AP22" i="8"/>
  <c r="AN22" i="8"/>
  <c r="AM22" i="8"/>
  <c r="AK22" i="8"/>
  <c r="AJ22" i="8"/>
  <c r="AH22" i="8"/>
  <c r="AG22" i="8"/>
  <c r="AE22" i="8"/>
  <c r="AD22" i="8"/>
  <c r="AB22" i="8"/>
  <c r="AA22" i="8"/>
  <c r="Y22" i="8"/>
  <c r="X22" i="8"/>
  <c r="V22" i="8"/>
  <c r="U22" i="8"/>
  <c r="S22" i="8"/>
  <c r="R22" i="8"/>
  <c r="P22" i="8"/>
  <c r="O22" i="8"/>
  <c r="M22" i="8"/>
  <c r="L22" i="8"/>
  <c r="J22" i="8"/>
  <c r="I22" i="8"/>
  <c r="EO21" i="8"/>
  <c r="EN21" i="8"/>
  <c r="EL21" i="8"/>
  <c r="EK21" i="8"/>
  <c r="EI21" i="8"/>
  <c r="EH21" i="8"/>
  <c r="EF21" i="8"/>
  <c r="EE21" i="8"/>
  <c r="EC21" i="8"/>
  <c r="EB21" i="8"/>
  <c r="DZ21" i="8"/>
  <c r="DY21" i="8"/>
  <c r="DW21" i="8"/>
  <c r="DV21" i="8"/>
  <c r="DT21" i="8"/>
  <c r="DS21" i="8"/>
  <c r="DQ21" i="8"/>
  <c r="DP21" i="8"/>
  <c r="DN21" i="8"/>
  <c r="DM21" i="8"/>
  <c r="DK21" i="8"/>
  <c r="DJ21" i="8"/>
  <c r="DH21" i="8"/>
  <c r="DG21" i="8"/>
  <c r="DE21" i="8"/>
  <c r="DD21" i="8"/>
  <c r="DB21" i="8"/>
  <c r="DA21" i="8"/>
  <c r="CY21" i="8"/>
  <c r="CX21" i="8"/>
  <c r="CV21" i="8"/>
  <c r="CU21" i="8"/>
  <c r="CS21" i="8"/>
  <c r="CR21" i="8"/>
  <c r="CP21" i="8"/>
  <c r="CO21" i="8"/>
  <c r="CM21" i="8"/>
  <c r="CL21" i="8"/>
  <c r="CJ21" i="8"/>
  <c r="CI21" i="8"/>
  <c r="CG21" i="8"/>
  <c r="CF21" i="8"/>
  <c r="CD21" i="8"/>
  <c r="CC21" i="8"/>
  <c r="CA21" i="8"/>
  <c r="BZ21" i="8"/>
  <c r="BX21" i="8"/>
  <c r="BW21" i="8"/>
  <c r="BU21" i="8"/>
  <c r="BT21" i="8"/>
  <c r="BR21" i="8"/>
  <c r="BQ21" i="8"/>
  <c r="BO21" i="8"/>
  <c r="BN21" i="8"/>
  <c r="BL21" i="8"/>
  <c r="BK21" i="8"/>
  <c r="BI21" i="8"/>
  <c r="BH21" i="8"/>
  <c r="BF21" i="8"/>
  <c r="BE21" i="8"/>
  <c r="BC21" i="8"/>
  <c r="BB21" i="8"/>
  <c r="AZ21" i="8"/>
  <c r="AY21" i="8"/>
  <c r="AW21" i="8"/>
  <c r="AV21" i="8"/>
  <c r="AT21" i="8"/>
  <c r="AS21" i="8"/>
  <c r="AQ21" i="8"/>
  <c r="AP21" i="8"/>
  <c r="AN21" i="8"/>
  <c r="AM21" i="8"/>
  <c r="AK21" i="8"/>
  <c r="AJ21" i="8"/>
  <c r="AH21" i="8"/>
  <c r="AG21" i="8"/>
  <c r="AE21" i="8"/>
  <c r="AD21" i="8"/>
  <c r="AB21" i="8"/>
  <c r="AA21" i="8"/>
  <c r="Y21" i="8"/>
  <c r="X21" i="8"/>
  <c r="V21" i="8"/>
  <c r="U21" i="8"/>
  <c r="S21" i="8"/>
  <c r="R21" i="8"/>
  <c r="P21" i="8"/>
  <c r="O21" i="8"/>
  <c r="M21" i="8"/>
  <c r="L21" i="8"/>
  <c r="J21" i="8"/>
  <c r="I21" i="8"/>
  <c r="EO20" i="8"/>
  <c r="EN20" i="8"/>
  <c r="EL20" i="8"/>
  <c r="EK20" i="8"/>
  <c r="EI20" i="8"/>
  <c r="EH20" i="8"/>
  <c r="EF20" i="8"/>
  <c r="EE20" i="8"/>
  <c r="EC20" i="8"/>
  <c r="EB20" i="8"/>
  <c r="DZ20" i="8"/>
  <c r="DY20" i="8"/>
  <c r="DW20" i="8"/>
  <c r="DV20" i="8"/>
  <c r="DT20" i="8"/>
  <c r="DS20" i="8"/>
  <c r="DQ20" i="8"/>
  <c r="DP20" i="8"/>
  <c r="DN20" i="8"/>
  <c r="DM20" i="8"/>
  <c r="DK20" i="8"/>
  <c r="DJ20" i="8"/>
  <c r="DH20" i="8"/>
  <c r="DG20" i="8"/>
  <c r="DE20" i="8"/>
  <c r="DD20" i="8"/>
  <c r="DB20" i="8"/>
  <c r="DA20" i="8"/>
  <c r="CY20" i="8"/>
  <c r="CX20" i="8"/>
  <c r="CV20" i="8"/>
  <c r="CU20" i="8"/>
  <c r="CS20" i="8"/>
  <c r="CR20" i="8"/>
  <c r="CP20" i="8"/>
  <c r="CO20" i="8"/>
  <c r="CM20" i="8"/>
  <c r="CL20" i="8"/>
  <c r="CJ20" i="8"/>
  <c r="CI20" i="8"/>
  <c r="CG20" i="8"/>
  <c r="CF20" i="8"/>
  <c r="CD20" i="8"/>
  <c r="CC20" i="8"/>
  <c r="CA20" i="8"/>
  <c r="BZ20" i="8"/>
  <c r="BX20" i="8"/>
  <c r="BW20" i="8"/>
  <c r="BU20" i="8"/>
  <c r="BT20" i="8"/>
  <c r="BR20" i="8"/>
  <c r="BQ20" i="8"/>
  <c r="BO20" i="8"/>
  <c r="BN20" i="8"/>
  <c r="BL20" i="8"/>
  <c r="BK20" i="8"/>
  <c r="BI20" i="8"/>
  <c r="BH20" i="8"/>
  <c r="BF20" i="8"/>
  <c r="BE20" i="8"/>
  <c r="BC20" i="8"/>
  <c r="BB20" i="8"/>
  <c r="AZ20" i="8"/>
  <c r="AY20" i="8"/>
  <c r="AW20" i="8"/>
  <c r="AV20" i="8"/>
  <c r="AT20" i="8"/>
  <c r="AS20" i="8"/>
  <c r="AQ20" i="8"/>
  <c r="AP20" i="8"/>
  <c r="AN20" i="8"/>
  <c r="AM20" i="8"/>
  <c r="AK20" i="8"/>
  <c r="AJ20" i="8"/>
  <c r="AH20" i="8"/>
  <c r="AG20" i="8"/>
  <c r="AE20" i="8"/>
  <c r="AD20" i="8"/>
  <c r="AB20" i="8"/>
  <c r="AA20" i="8"/>
  <c r="Y20" i="8"/>
  <c r="X20" i="8"/>
  <c r="V20" i="8"/>
  <c r="U20" i="8"/>
  <c r="S20" i="8"/>
  <c r="R20" i="8"/>
  <c r="P20" i="8"/>
  <c r="O20" i="8"/>
  <c r="M20" i="8"/>
  <c r="L20" i="8"/>
  <c r="J20" i="8"/>
  <c r="I20" i="8"/>
  <c r="EO19" i="8"/>
  <c r="EN19" i="8"/>
  <c r="EL19" i="8"/>
  <c r="EK19" i="8"/>
  <c r="EI19" i="8"/>
  <c r="EH19" i="8"/>
  <c r="EF19" i="8"/>
  <c r="EE19" i="8"/>
  <c r="EC19" i="8"/>
  <c r="EB19" i="8"/>
  <c r="DZ19" i="8"/>
  <c r="DY19" i="8"/>
  <c r="DW19" i="8"/>
  <c r="DV19" i="8"/>
  <c r="DT19" i="8"/>
  <c r="DS19" i="8"/>
  <c r="DQ19" i="8"/>
  <c r="DP19" i="8"/>
  <c r="DN19" i="8"/>
  <c r="DM19" i="8"/>
  <c r="DK19" i="8"/>
  <c r="DJ19" i="8"/>
  <c r="DH19" i="8"/>
  <c r="DG19" i="8"/>
  <c r="DE19" i="8"/>
  <c r="DD19" i="8"/>
  <c r="DB19" i="8"/>
  <c r="DA19" i="8"/>
  <c r="CY19" i="8"/>
  <c r="CX19" i="8"/>
  <c r="CV19" i="8"/>
  <c r="CU19" i="8"/>
  <c r="CS19" i="8"/>
  <c r="CR19" i="8"/>
  <c r="CP19" i="8"/>
  <c r="CO19" i="8"/>
  <c r="CM19" i="8"/>
  <c r="CL19" i="8"/>
  <c r="CJ19" i="8"/>
  <c r="CI19" i="8"/>
  <c r="CG19" i="8"/>
  <c r="CF19" i="8"/>
  <c r="CD19" i="8"/>
  <c r="CC19" i="8"/>
  <c r="CA19" i="8"/>
  <c r="BZ19" i="8"/>
  <c r="BX19" i="8"/>
  <c r="BW19" i="8"/>
  <c r="BU19" i="8"/>
  <c r="BT19" i="8"/>
  <c r="BR19" i="8"/>
  <c r="BQ19" i="8"/>
  <c r="BO19" i="8"/>
  <c r="BN19" i="8"/>
  <c r="BL19" i="8"/>
  <c r="BK19" i="8"/>
  <c r="BI19" i="8"/>
  <c r="BH19" i="8"/>
  <c r="BF19" i="8"/>
  <c r="BE19" i="8"/>
  <c r="BC19" i="8"/>
  <c r="BB19" i="8"/>
  <c r="AZ19" i="8"/>
  <c r="AY19" i="8"/>
  <c r="AW19" i="8"/>
  <c r="AV19" i="8"/>
  <c r="AT19" i="8"/>
  <c r="AS19" i="8"/>
  <c r="AQ19" i="8"/>
  <c r="AP19" i="8"/>
  <c r="AN19" i="8"/>
  <c r="AM19" i="8"/>
  <c r="AK19" i="8"/>
  <c r="AJ19" i="8"/>
  <c r="AH19" i="8"/>
  <c r="AG19" i="8"/>
  <c r="AE19" i="8"/>
  <c r="AD19" i="8"/>
  <c r="AB19" i="8"/>
  <c r="AA19" i="8"/>
  <c r="Y19" i="8"/>
  <c r="X19" i="8"/>
  <c r="V19" i="8"/>
  <c r="U19" i="8"/>
  <c r="S19" i="8"/>
  <c r="R19" i="8"/>
  <c r="P19" i="8"/>
  <c r="O19" i="8"/>
  <c r="M19" i="8"/>
  <c r="L19" i="8"/>
  <c r="J19" i="8"/>
  <c r="I19" i="8"/>
  <c r="EO18" i="8"/>
  <c r="EN18" i="8"/>
  <c r="EL18" i="8"/>
  <c r="EK18" i="8"/>
  <c r="EI18" i="8"/>
  <c r="EH18" i="8"/>
  <c r="EF18" i="8"/>
  <c r="EE18" i="8"/>
  <c r="EC18" i="8"/>
  <c r="EB18" i="8"/>
  <c r="DZ18" i="8"/>
  <c r="DY18" i="8"/>
  <c r="DW18" i="8"/>
  <c r="DV18" i="8"/>
  <c r="DT18" i="8"/>
  <c r="DS18" i="8"/>
  <c r="DQ18" i="8"/>
  <c r="DP18" i="8"/>
  <c r="DN18" i="8"/>
  <c r="DM18" i="8"/>
  <c r="DK18" i="8"/>
  <c r="DJ18" i="8"/>
  <c r="DH18" i="8"/>
  <c r="DG18" i="8"/>
  <c r="DE18" i="8"/>
  <c r="DD18" i="8"/>
  <c r="DB18" i="8"/>
  <c r="DA18" i="8"/>
  <c r="CY18" i="8"/>
  <c r="CX18" i="8"/>
  <c r="CV18" i="8"/>
  <c r="CU18" i="8"/>
  <c r="CS18" i="8"/>
  <c r="CR18" i="8"/>
  <c r="CP18" i="8"/>
  <c r="CO18" i="8"/>
  <c r="CM18" i="8"/>
  <c r="CL18" i="8"/>
  <c r="CJ18" i="8"/>
  <c r="CI18" i="8"/>
  <c r="CG18" i="8"/>
  <c r="CF18" i="8"/>
  <c r="CD18" i="8"/>
  <c r="CC18" i="8"/>
  <c r="CA18" i="8"/>
  <c r="BZ18" i="8"/>
  <c r="BX18" i="8"/>
  <c r="BW18" i="8"/>
  <c r="BU18" i="8"/>
  <c r="BT18" i="8"/>
  <c r="BR18" i="8"/>
  <c r="BQ18" i="8"/>
  <c r="BO18" i="8"/>
  <c r="BN18" i="8"/>
  <c r="BL18" i="8"/>
  <c r="BK18" i="8"/>
  <c r="BI18" i="8"/>
  <c r="BH18" i="8"/>
  <c r="BF18" i="8"/>
  <c r="BE18" i="8"/>
  <c r="BC18" i="8"/>
  <c r="BB18" i="8"/>
  <c r="AZ18" i="8"/>
  <c r="AY18" i="8"/>
  <c r="AW18" i="8"/>
  <c r="AV18" i="8"/>
  <c r="AT18" i="8"/>
  <c r="AS18" i="8"/>
  <c r="AQ18" i="8"/>
  <c r="AP18" i="8"/>
  <c r="AN18" i="8"/>
  <c r="AM18" i="8"/>
  <c r="AK18" i="8"/>
  <c r="AJ18" i="8"/>
  <c r="AH18" i="8"/>
  <c r="AG18" i="8"/>
  <c r="AE18" i="8"/>
  <c r="AD18" i="8"/>
  <c r="AB18" i="8"/>
  <c r="AA18" i="8"/>
  <c r="Y18" i="8"/>
  <c r="X18" i="8"/>
  <c r="V18" i="8"/>
  <c r="U18" i="8"/>
  <c r="S18" i="8"/>
  <c r="R18" i="8"/>
  <c r="P18" i="8"/>
  <c r="O18" i="8"/>
  <c r="M18" i="8"/>
  <c r="L18" i="8"/>
  <c r="J18" i="8"/>
  <c r="I18" i="8"/>
  <c r="EO17" i="8"/>
  <c r="EN17" i="8"/>
  <c r="EL17" i="8"/>
  <c r="EK17" i="8"/>
  <c r="EI17" i="8"/>
  <c r="EH17" i="8"/>
  <c r="EF17" i="8"/>
  <c r="EE17" i="8"/>
  <c r="EC17" i="8"/>
  <c r="EB17" i="8"/>
  <c r="DZ17" i="8"/>
  <c r="DY17" i="8"/>
  <c r="DW17" i="8"/>
  <c r="DV17" i="8"/>
  <c r="DT17" i="8"/>
  <c r="DS17" i="8"/>
  <c r="DQ17" i="8"/>
  <c r="DP17" i="8"/>
  <c r="DN17" i="8"/>
  <c r="DM17" i="8"/>
  <c r="DK17" i="8"/>
  <c r="DJ17" i="8"/>
  <c r="DH17" i="8"/>
  <c r="DG17" i="8"/>
  <c r="DE17" i="8"/>
  <c r="DD17" i="8"/>
  <c r="DB17" i="8"/>
  <c r="DA17" i="8"/>
  <c r="CY17" i="8"/>
  <c r="CX17" i="8"/>
  <c r="CV17" i="8"/>
  <c r="CU17" i="8"/>
  <c r="CS17" i="8"/>
  <c r="CR17" i="8"/>
  <c r="CP17" i="8"/>
  <c r="CO17" i="8"/>
  <c r="CM17" i="8"/>
  <c r="CL17" i="8"/>
  <c r="CJ17" i="8"/>
  <c r="CI17" i="8"/>
  <c r="CG17" i="8"/>
  <c r="CF17" i="8"/>
  <c r="CD17" i="8"/>
  <c r="CC17" i="8"/>
  <c r="CA17" i="8"/>
  <c r="BZ17" i="8"/>
  <c r="BX17" i="8"/>
  <c r="BW17" i="8"/>
  <c r="BU17" i="8"/>
  <c r="BT17" i="8"/>
  <c r="BR17" i="8"/>
  <c r="BQ17" i="8"/>
  <c r="BO17" i="8"/>
  <c r="BN17" i="8"/>
  <c r="BL17" i="8"/>
  <c r="BK17" i="8"/>
  <c r="BI17" i="8"/>
  <c r="BH17" i="8"/>
  <c r="BF17" i="8"/>
  <c r="BE17" i="8"/>
  <c r="BC17" i="8"/>
  <c r="BB17" i="8"/>
  <c r="AZ17" i="8"/>
  <c r="AY17" i="8"/>
  <c r="AW17" i="8"/>
  <c r="AV17" i="8"/>
  <c r="AT17" i="8"/>
  <c r="AS17" i="8"/>
  <c r="AQ17" i="8"/>
  <c r="AP17" i="8"/>
  <c r="AN17" i="8"/>
  <c r="AM17" i="8"/>
  <c r="AK17" i="8"/>
  <c r="AJ17" i="8"/>
  <c r="AH17" i="8"/>
  <c r="AG17" i="8"/>
  <c r="AE17" i="8"/>
  <c r="AD17" i="8"/>
  <c r="AB17" i="8"/>
  <c r="AA17" i="8"/>
  <c r="Y17" i="8"/>
  <c r="X17" i="8"/>
  <c r="V17" i="8"/>
  <c r="U17" i="8"/>
  <c r="S17" i="8"/>
  <c r="R17" i="8"/>
  <c r="P17" i="8"/>
  <c r="O17" i="8"/>
  <c r="M17" i="8"/>
  <c r="L17" i="8"/>
  <c r="J17" i="8"/>
  <c r="I17" i="8"/>
  <c r="EO16" i="8"/>
  <c r="EN16" i="8"/>
  <c r="EL16" i="8"/>
  <c r="EK16" i="8"/>
  <c r="EI16" i="8"/>
  <c r="EH16" i="8"/>
  <c r="EF16" i="8"/>
  <c r="EE16" i="8"/>
  <c r="EC16" i="8"/>
  <c r="EB16" i="8"/>
  <c r="DZ16" i="8"/>
  <c r="DY16" i="8"/>
  <c r="DW16" i="8"/>
  <c r="DV16" i="8"/>
  <c r="DT16" i="8"/>
  <c r="DS16" i="8"/>
  <c r="DQ16" i="8"/>
  <c r="DP16" i="8"/>
  <c r="DN16" i="8"/>
  <c r="DM16" i="8"/>
  <c r="DK16" i="8"/>
  <c r="DJ16" i="8"/>
  <c r="DH16" i="8"/>
  <c r="DG16" i="8"/>
  <c r="DE16" i="8"/>
  <c r="DD16" i="8"/>
  <c r="DB16" i="8"/>
  <c r="DA16" i="8"/>
  <c r="CY16" i="8"/>
  <c r="CX16" i="8"/>
  <c r="CV16" i="8"/>
  <c r="CU16" i="8"/>
  <c r="CS16" i="8"/>
  <c r="CR16" i="8"/>
  <c r="CP16" i="8"/>
  <c r="CO16" i="8"/>
  <c r="CM16" i="8"/>
  <c r="CL16" i="8"/>
  <c r="CJ16" i="8"/>
  <c r="CI16" i="8"/>
  <c r="CG16" i="8"/>
  <c r="CF16" i="8"/>
  <c r="CD16" i="8"/>
  <c r="CC16" i="8"/>
  <c r="CA16" i="8"/>
  <c r="BZ16" i="8"/>
  <c r="BX16" i="8"/>
  <c r="BW16" i="8"/>
  <c r="BU16" i="8"/>
  <c r="BT16" i="8"/>
  <c r="BR16" i="8"/>
  <c r="BQ16" i="8"/>
  <c r="BO16" i="8"/>
  <c r="BN16" i="8"/>
  <c r="BL16" i="8"/>
  <c r="BK16" i="8"/>
  <c r="BI16" i="8"/>
  <c r="BH16" i="8"/>
  <c r="BF16" i="8"/>
  <c r="BE16" i="8"/>
  <c r="BC16" i="8"/>
  <c r="BB16" i="8"/>
  <c r="AZ16" i="8"/>
  <c r="AY16" i="8"/>
  <c r="AW16" i="8"/>
  <c r="AV16" i="8"/>
  <c r="AT16" i="8"/>
  <c r="AS16" i="8"/>
  <c r="AQ16" i="8"/>
  <c r="AP16" i="8"/>
  <c r="AN16" i="8"/>
  <c r="AM16" i="8"/>
  <c r="AK16" i="8"/>
  <c r="AJ16" i="8"/>
  <c r="AH16" i="8"/>
  <c r="AG16" i="8"/>
  <c r="AE16" i="8"/>
  <c r="AD16" i="8"/>
  <c r="AB16" i="8"/>
  <c r="AA16" i="8"/>
  <c r="Y16" i="8"/>
  <c r="X16" i="8"/>
  <c r="V16" i="8"/>
  <c r="U16" i="8"/>
  <c r="S16" i="8"/>
  <c r="R16" i="8"/>
  <c r="P16" i="8"/>
  <c r="O16" i="8"/>
  <c r="M16" i="8"/>
  <c r="L16" i="8"/>
  <c r="J16" i="8"/>
  <c r="I16" i="8"/>
  <c r="EO15" i="8"/>
  <c r="EN15" i="8"/>
  <c r="EL15" i="8"/>
  <c r="EK15" i="8"/>
  <c r="EI15" i="8"/>
  <c r="EH15" i="8"/>
  <c r="EF15" i="8"/>
  <c r="EE15" i="8"/>
  <c r="EC15" i="8"/>
  <c r="EB15" i="8"/>
  <c r="DZ15" i="8"/>
  <c r="DY15" i="8"/>
  <c r="DW15" i="8"/>
  <c r="DV15" i="8"/>
  <c r="DT15" i="8"/>
  <c r="DS15" i="8"/>
  <c r="DQ15" i="8"/>
  <c r="DP15" i="8"/>
  <c r="DN15" i="8"/>
  <c r="DM15" i="8"/>
  <c r="DK15" i="8"/>
  <c r="DJ15" i="8"/>
  <c r="DH15" i="8"/>
  <c r="DG15" i="8"/>
  <c r="DE15" i="8"/>
  <c r="DD15" i="8"/>
  <c r="DB15" i="8"/>
  <c r="DA15" i="8"/>
  <c r="CY15" i="8"/>
  <c r="CX15" i="8"/>
  <c r="CV15" i="8"/>
  <c r="CU15" i="8"/>
  <c r="CS15" i="8"/>
  <c r="CR15" i="8"/>
  <c r="CP15" i="8"/>
  <c r="CO15" i="8"/>
  <c r="CM15" i="8"/>
  <c r="CL15" i="8"/>
  <c r="CJ15" i="8"/>
  <c r="CI15" i="8"/>
  <c r="CG15" i="8"/>
  <c r="CF15" i="8"/>
  <c r="CD15" i="8"/>
  <c r="CC15" i="8"/>
  <c r="CA15" i="8"/>
  <c r="BZ15" i="8"/>
  <c r="BX15" i="8"/>
  <c r="BW15" i="8"/>
  <c r="BU15" i="8"/>
  <c r="BT15" i="8"/>
  <c r="BR15" i="8"/>
  <c r="BQ15" i="8"/>
  <c r="BO15" i="8"/>
  <c r="BN15" i="8"/>
  <c r="BL15" i="8"/>
  <c r="BK15" i="8"/>
  <c r="BI15" i="8"/>
  <c r="BH15" i="8"/>
  <c r="BF15" i="8"/>
  <c r="BE15" i="8"/>
  <c r="BC15" i="8"/>
  <c r="BB15" i="8"/>
  <c r="AZ15" i="8"/>
  <c r="AY15" i="8"/>
  <c r="AW15" i="8"/>
  <c r="AV15" i="8"/>
  <c r="AT15" i="8"/>
  <c r="AS15" i="8"/>
  <c r="AQ15" i="8"/>
  <c r="AP15" i="8"/>
  <c r="AN15" i="8"/>
  <c r="AM15" i="8"/>
  <c r="AK15" i="8"/>
  <c r="AJ15" i="8"/>
  <c r="AH15" i="8"/>
  <c r="AG15" i="8"/>
  <c r="AE15" i="8"/>
  <c r="AD15" i="8"/>
  <c r="AB15" i="8"/>
  <c r="AA15" i="8"/>
  <c r="Y15" i="8"/>
  <c r="X15" i="8"/>
  <c r="V15" i="8"/>
  <c r="U15" i="8"/>
  <c r="S15" i="8"/>
  <c r="R15" i="8"/>
  <c r="P15" i="8"/>
  <c r="O15" i="8"/>
  <c r="M15" i="8"/>
  <c r="L15" i="8"/>
  <c r="J15" i="8"/>
  <c r="I15" i="8"/>
  <c r="EO14" i="8"/>
  <c r="EN14" i="8"/>
  <c r="EL14" i="8"/>
  <c r="EK14" i="8"/>
  <c r="EI14" i="8"/>
  <c r="EH14" i="8"/>
  <c r="EF14" i="8"/>
  <c r="EE14" i="8"/>
  <c r="EC14" i="8"/>
  <c r="EB14" i="8"/>
  <c r="DZ14" i="8"/>
  <c r="DY14" i="8"/>
  <c r="DW14" i="8"/>
  <c r="DV14" i="8"/>
  <c r="DT14" i="8"/>
  <c r="DS14" i="8"/>
  <c r="DQ14" i="8"/>
  <c r="DP14" i="8"/>
  <c r="DN14" i="8"/>
  <c r="DM14" i="8"/>
  <c r="DK14" i="8"/>
  <c r="DJ14" i="8"/>
  <c r="DH14" i="8"/>
  <c r="DG14" i="8"/>
  <c r="DE14" i="8"/>
  <c r="DD14" i="8"/>
  <c r="DB14" i="8"/>
  <c r="DA14" i="8"/>
  <c r="CY14" i="8"/>
  <c r="CX14" i="8"/>
  <c r="CV14" i="8"/>
  <c r="CU14" i="8"/>
  <c r="CS14" i="8"/>
  <c r="CR14" i="8"/>
  <c r="CP14" i="8"/>
  <c r="CO14" i="8"/>
  <c r="CM14" i="8"/>
  <c r="CL14" i="8"/>
  <c r="CJ14" i="8"/>
  <c r="CI14" i="8"/>
  <c r="CG14" i="8"/>
  <c r="CF14" i="8"/>
  <c r="CD14" i="8"/>
  <c r="CC14" i="8"/>
  <c r="CA14" i="8"/>
  <c r="BZ14" i="8"/>
  <c r="BX14" i="8"/>
  <c r="BW14" i="8"/>
  <c r="BU14" i="8"/>
  <c r="BT14" i="8"/>
  <c r="BR14" i="8"/>
  <c r="BQ14" i="8"/>
  <c r="BO14" i="8"/>
  <c r="BN14" i="8"/>
  <c r="BL14" i="8"/>
  <c r="BK14" i="8"/>
  <c r="BI14" i="8"/>
  <c r="BH14" i="8"/>
  <c r="BF14" i="8"/>
  <c r="BE14" i="8"/>
  <c r="BC14" i="8"/>
  <c r="BB14" i="8"/>
  <c r="AZ14" i="8"/>
  <c r="AY14" i="8"/>
  <c r="AW14" i="8"/>
  <c r="AV14" i="8"/>
  <c r="AT14" i="8"/>
  <c r="AS14" i="8"/>
  <c r="AQ14" i="8"/>
  <c r="AP14" i="8"/>
  <c r="AN14" i="8"/>
  <c r="AM14" i="8"/>
  <c r="AK14" i="8"/>
  <c r="AJ14" i="8"/>
  <c r="AH14" i="8"/>
  <c r="AG14" i="8"/>
  <c r="AE14" i="8"/>
  <c r="AD14" i="8"/>
  <c r="AB14" i="8"/>
  <c r="AA14" i="8"/>
  <c r="Y14" i="8"/>
  <c r="X14" i="8"/>
  <c r="V14" i="8"/>
  <c r="U14" i="8"/>
  <c r="S14" i="8"/>
  <c r="R14" i="8"/>
  <c r="P14" i="8"/>
  <c r="O14" i="8"/>
  <c r="M14" i="8"/>
  <c r="L14" i="8"/>
  <c r="J14" i="8"/>
  <c r="I14" i="8"/>
  <c r="EO13" i="8"/>
  <c r="EN13" i="8"/>
  <c r="EL13" i="8"/>
  <c r="EK13" i="8"/>
  <c r="EI13" i="8"/>
  <c r="EH13" i="8"/>
  <c r="EF13" i="8"/>
  <c r="EE13" i="8"/>
  <c r="EC13" i="8"/>
  <c r="EB13" i="8"/>
  <c r="DZ13" i="8"/>
  <c r="DY13" i="8"/>
  <c r="DW13" i="8"/>
  <c r="DV13" i="8"/>
  <c r="DT13" i="8"/>
  <c r="DS13" i="8"/>
  <c r="DQ13" i="8"/>
  <c r="DP13" i="8"/>
  <c r="DN13" i="8"/>
  <c r="DM13" i="8"/>
  <c r="DK13" i="8"/>
  <c r="DJ13" i="8"/>
  <c r="DH13" i="8"/>
  <c r="DG13" i="8"/>
  <c r="DE13" i="8"/>
  <c r="DD13" i="8"/>
  <c r="DB13" i="8"/>
  <c r="DA13" i="8"/>
  <c r="CY13" i="8"/>
  <c r="CX13" i="8"/>
  <c r="CV13" i="8"/>
  <c r="CU13" i="8"/>
  <c r="CS13" i="8"/>
  <c r="CR13" i="8"/>
  <c r="CP13" i="8"/>
  <c r="CO13" i="8"/>
  <c r="CM13" i="8"/>
  <c r="CL13" i="8"/>
  <c r="CJ13" i="8"/>
  <c r="CI13" i="8"/>
  <c r="CG13" i="8"/>
  <c r="CF13" i="8"/>
  <c r="CD13" i="8"/>
  <c r="CC13" i="8"/>
  <c r="CA13" i="8"/>
  <c r="BZ13" i="8"/>
  <c r="BX13" i="8"/>
  <c r="BW13" i="8"/>
  <c r="BU13" i="8"/>
  <c r="BT13" i="8"/>
  <c r="BR13" i="8"/>
  <c r="BQ13" i="8"/>
  <c r="BO13" i="8"/>
  <c r="BN13" i="8"/>
  <c r="BL13" i="8"/>
  <c r="BK13" i="8"/>
  <c r="BI13" i="8"/>
  <c r="BH13" i="8"/>
  <c r="BF13" i="8"/>
  <c r="BE13" i="8"/>
  <c r="BC13" i="8"/>
  <c r="BB13" i="8"/>
  <c r="AZ13" i="8"/>
  <c r="AY13" i="8"/>
  <c r="AW13" i="8"/>
  <c r="AV13" i="8"/>
  <c r="AT13" i="8"/>
  <c r="AS13" i="8"/>
  <c r="AQ13" i="8"/>
  <c r="AP13" i="8"/>
  <c r="AN13" i="8"/>
  <c r="AM13" i="8"/>
  <c r="AK13" i="8"/>
  <c r="AJ13" i="8"/>
  <c r="AH13" i="8"/>
  <c r="AG13" i="8"/>
  <c r="AE13" i="8"/>
  <c r="AD13" i="8"/>
  <c r="AB13" i="8"/>
  <c r="AA13" i="8"/>
  <c r="Y13" i="8"/>
  <c r="X13" i="8"/>
  <c r="V13" i="8"/>
  <c r="U13" i="8"/>
  <c r="S13" i="8"/>
  <c r="R13" i="8"/>
  <c r="P13" i="8"/>
  <c r="O13" i="8"/>
  <c r="M13" i="8"/>
  <c r="L13" i="8"/>
  <c r="J13" i="8"/>
  <c r="I13" i="8"/>
  <c r="EO12" i="8"/>
  <c r="EN12" i="8"/>
  <c r="EL12" i="8"/>
  <c r="EK12" i="8"/>
  <c r="EI12" i="8"/>
  <c r="EH12" i="8"/>
  <c r="EF12" i="8"/>
  <c r="EE12" i="8"/>
  <c r="EC12" i="8"/>
  <c r="EB12" i="8"/>
  <c r="DZ12" i="8"/>
  <c r="DY12" i="8"/>
  <c r="DW12" i="8"/>
  <c r="DV12" i="8"/>
  <c r="DT12" i="8"/>
  <c r="DS12" i="8"/>
  <c r="DQ12" i="8"/>
  <c r="DP12" i="8"/>
  <c r="DN12" i="8"/>
  <c r="DM12" i="8"/>
  <c r="DK12" i="8"/>
  <c r="DJ12" i="8"/>
  <c r="DH12" i="8"/>
  <c r="DG12" i="8"/>
  <c r="DE12" i="8"/>
  <c r="DD12" i="8"/>
  <c r="DB12" i="8"/>
  <c r="DA12" i="8"/>
  <c r="CY12" i="8"/>
  <c r="CX12" i="8"/>
  <c r="CV12" i="8"/>
  <c r="CU12" i="8"/>
  <c r="CS12" i="8"/>
  <c r="CR12" i="8"/>
  <c r="CP12" i="8"/>
  <c r="CO12" i="8"/>
  <c r="CM12" i="8"/>
  <c r="CL12" i="8"/>
  <c r="CJ12" i="8"/>
  <c r="CI12" i="8"/>
  <c r="CG12" i="8"/>
  <c r="CF12" i="8"/>
  <c r="CD12" i="8"/>
  <c r="CC12" i="8"/>
  <c r="CA12" i="8"/>
  <c r="BZ12" i="8"/>
  <c r="BX12" i="8"/>
  <c r="BW12" i="8"/>
  <c r="BU12" i="8"/>
  <c r="BT12" i="8"/>
  <c r="BR12" i="8"/>
  <c r="BQ12" i="8"/>
  <c r="BO12" i="8"/>
  <c r="BN12" i="8"/>
  <c r="BL12" i="8"/>
  <c r="BK12" i="8"/>
  <c r="BI12" i="8"/>
  <c r="BH12" i="8"/>
  <c r="BF12" i="8"/>
  <c r="BE12" i="8"/>
  <c r="BC12" i="8"/>
  <c r="BB12" i="8"/>
  <c r="AZ12" i="8"/>
  <c r="AY12" i="8"/>
  <c r="AW12" i="8"/>
  <c r="AV12" i="8"/>
  <c r="AT12" i="8"/>
  <c r="AS12" i="8"/>
  <c r="AQ12" i="8"/>
  <c r="AP12" i="8"/>
  <c r="AN12" i="8"/>
  <c r="AM12" i="8"/>
  <c r="AK12" i="8"/>
  <c r="AJ12" i="8"/>
  <c r="AH12" i="8"/>
  <c r="AG12" i="8"/>
  <c r="AE12" i="8"/>
  <c r="AD12" i="8"/>
  <c r="AB12" i="8"/>
  <c r="AA12" i="8"/>
  <c r="Y12" i="8"/>
  <c r="X12" i="8"/>
  <c r="V12" i="8"/>
  <c r="U12" i="8"/>
  <c r="S12" i="8"/>
  <c r="R12" i="8"/>
  <c r="P12" i="8"/>
  <c r="O12" i="8"/>
  <c r="M12" i="8"/>
  <c r="L12" i="8"/>
  <c r="J12" i="8"/>
  <c r="I12" i="8"/>
  <c r="EO11" i="8"/>
  <c r="EN11" i="8"/>
  <c r="EL11" i="8"/>
  <c r="EK11" i="8"/>
  <c r="EI11" i="8"/>
  <c r="EH11" i="8"/>
  <c r="EF11" i="8"/>
  <c r="EE11" i="8"/>
  <c r="EC11" i="8"/>
  <c r="EB11" i="8"/>
  <c r="DZ11" i="8"/>
  <c r="DY11" i="8"/>
  <c r="DW11" i="8"/>
  <c r="DV11" i="8"/>
  <c r="DT11" i="8"/>
  <c r="DS11" i="8"/>
  <c r="DQ11" i="8"/>
  <c r="DP11" i="8"/>
  <c r="DN11" i="8"/>
  <c r="DM11" i="8"/>
  <c r="DK11" i="8"/>
  <c r="DJ11" i="8"/>
  <c r="DH11" i="8"/>
  <c r="DG11" i="8"/>
  <c r="DE11" i="8"/>
  <c r="DD11" i="8"/>
  <c r="DB11" i="8"/>
  <c r="DA11" i="8"/>
  <c r="CY11" i="8"/>
  <c r="CX11" i="8"/>
  <c r="CV11" i="8"/>
  <c r="CU11" i="8"/>
  <c r="CS11" i="8"/>
  <c r="CR11" i="8"/>
  <c r="CP11" i="8"/>
  <c r="CO11" i="8"/>
  <c r="CM11" i="8"/>
  <c r="CL11" i="8"/>
  <c r="CJ11" i="8"/>
  <c r="CI11" i="8"/>
  <c r="CG11" i="8"/>
  <c r="CF11" i="8"/>
  <c r="CD11" i="8"/>
  <c r="CC11" i="8"/>
  <c r="CA11" i="8"/>
  <c r="BZ11" i="8"/>
  <c r="BX11" i="8"/>
  <c r="BW11" i="8"/>
  <c r="BU11" i="8"/>
  <c r="BT11" i="8"/>
  <c r="BR11" i="8"/>
  <c r="BQ11" i="8"/>
  <c r="BO11" i="8"/>
  <c r="BN11" i="8"/>
  <c r="BL11" i="8"/>
  <c r="BK11" i="8"/>
  <c r="BI11" i="8"/>
  <c r="BH11" i="8"/>
  <c r="BF11" i="8"/>
  <c r="BE11" i="8"/>
  <c r="BC11" i="8"/>
  <c r="BB11" i="8"/>
  <c r="AZ11" i="8"/>
  <c r="AY11" i="8"/>
  <c r="AW11" i="8"/>
  <c r="AV11" i="8"/>
  <c r="AT11" i="8"/>
  <c r="AS11" i="8"/>
  <c r="AQ11" i="8"/>
  <c r="AP11" i="8"/>
  <c r="AN11" i="8"/>
  <c r="AM11" i="8"/>
  <c r="AK11" i="8"/>
  <c r="AJ11" i="8"/>
  <c r="AH11" i="8"/>
  <c r="AG11" i="8"/>
  <c r="AE11" i="8"/>
  <c r="AD11" i="8"/>
  <c r="AB11" i="8"/>
  <c r="AA11" i="8"/>
  <c r="Y11" i="8"/>
  <c r="X11" i="8"/>
  <c r="V11" i="8"/>
  <c r="U11" i="8"/>
  <c r="S11" i="8"/>
  <c r="R11" i="8"/>
  <c r="P11" i="8"/>
  <c r="O11" i="8"/>
  <c r="M11" i="8"/>
  <c r="L11" i="8"/>
  <c r="J11" i="8"/>
  <c r="I11" i="8"/>
  <c r="EO10" i="8"/>
  <c r="EN10" i="8"/>
  <c r="EL10" i="8"/>
  <c r="EK10" i="8"/>
  <c r="EI10" i="8"/>
  <c r="EH10" i="8"/>
  <c r="EF10" i="8"/>
  <c r="EE10" i="8"/>
  <c r="EC10" i="8"/>
  <c r="EB10" i="8"/>
  <c r="DZ10" i="8"/>
  <c r="DY10" i="8"/>
  <c r="DW10" i="8"/>
  <c r="DV10" i="8"/>
  <c r="DT10" i="8"/>
  <c r="DS10" i="8"/>
  <c r="DQ10" i="8"/>
  <c r="DP10" i="8"/>
  <c r="DN10" i="8"/>
  <c r="DM10" i="8"/>
  <c r="DK10" i="8"/>
  <c r="DJ10" i="8"/>
  <c r="DH10" i="8"/>
  <c r="DG10" i="8"/>
  <c r="DE10" i="8"/>
  <c r="DD10" i="8"/>
  <c r="DB10" i="8"/>
  <c r="DA10" i="8"/>
  <c r="CY10" i="8"/>
  <c r="CX10" i="8"/>
  <c r="CV10" i="8"/>
  <c r="CU10" i="8"/>
  <c r="CS10" i="8"/>
  <c r="CR10" i="8"/>
  <c r="CP10" i="8"/>
  <c r="CO10" i="8"/>
  <c r="CM10" i="8"/>
  <c r="CL10" i="8"/>
  <c r="CJ10" i="8"/>
  <c r="CI10" i="8"/>
  <c r="CG10" i="8"/>
  <c r="CF10" i="8"/>
  <c r="CD10" i="8"/>
  <c r="CC10" i="8"/>
  <c r="CA10" i="8"/>
  <c r="BZ10" i="8"/>
  <c r="BX10" i="8"/>
  <c r="BW10" i="8"/>
  <c r="BU10" i="8"/>
  <c r="BT10" i="8"/>
  <c r="BR10" i="8"/>
  <c r="BQ10" i="8"/>
  <c r="BO10" i="8"/>
  <c r="BN10" i="8"/>
  <c r="BL10" i="8"/>
  <c r="BK10" i="8"/>
  <c r="BI10" i="8"/>
  <c r="BH10" i="8"/>
  <c r="BF10" i="8"/>
  <c r="BE10" i="8"/>
  <c r="BC10" i="8"/>
  <c r="BB10" i="8"/>
  <c r="AZ10" i="8"/>
  <c r="AY10" i="8"/>
  <c r="AW10" i="8"/>
  <c r="AV10" i="8"/>
  <c r="AT10" i="8"/>
  <c r="AS10" i="8"/>
  <c r="AQ10" i="8"/>
  <c r="AP10" i="8"/>
  <c r="AN10" i="8"/>
  <c r="AM10" i="8"/>
  <c r="AK10" i="8"/>
  <c r="AJ10" i="8"/>
  <c r="AH10" i="8"/>
  <c r="AG10" i="8"/>
  <c r="AE10" i="8"/>
  <c r="AD10" i="8"/>
  <c r="AB10" i="8"/>
  <c r="AA10" i="8"/>
  <c r="Y10" i="8"/>
  <c r="X10" i="8"/>
  <c r="V10" i="8"/>
  <c r="U10" i="8"/>
  <c r="S10" i="8"/>
  <c r="R10" i="8"/>
  <c r="P10" i="8"/>
  <c r="O10" i="8"/>
  <c r="M10" i="8"/>
  <c r="L10" i="8"/>
  <c r="J10" i="8"/>
  <c r="I10" i="8"/>
  <c r="EO9" i="8"/>
  <c r="EN9" i="8"/>
  <c r="EL9" i="8"/>
  <c r="EK9" i="8"/>
  <c r="EI9" i="8"/>
  <c r="EH9" i="8"/>
  <c r="EF9" i="8"/>
  <c r="EE9" i="8"/>
  <c r="EC9" i="8"/>
  <c r="EB9" i="8"/>
  <c r="DZ9" i="8"/>
  <c r="DY9" i="8"/>
  <c r="DW9" i="8"/>
  <c r="DV9" i="8"/>
  <c r="DT9" i="8"/>
  <c r="DS9" i="8"/>
  <c r="DQ9" i="8"/>
  <c r="DP9" i="8"/>
  <c r="DN9" i="8"/>
  <c r="DM9" i="8"/>
  <c r="DK9" i="8"/>
  <c r="DJ9" i="8"/>
  <c r="DH9" i="8"/>
  <c r="DG9" i="8"/>
  <c r="DE9" i="8"/>
  <c r="DD9" i="8"/>
  <c r="DB9" i="8"/>
  <c r="DA9" i="8"/>
  <c r="CY9" i="8"/>
  <c r="CX9" i="8"/>
  <c r="CV9" i="8"/>
  <c r="CU9" i="8"/>
  <c r="CS9" i="8"/>
  <c r="CR9" i="8"/>
  <c r="CP9" i="8"/>
  <c r="CO9" i="8"/>
  <c r="CM9" i="8"/>
  <c r="CL9" i="8"/>
  <c r="CJ9" i="8"/>
  <c r="CI9" i="8"/>
  <c r="CG9" i="8"/>
  <c r="CF9" i="8"/>
  <c r="CD9" i="8"/>
  <c r="CC9" i="8"/>
  <c r="CA9" i="8"/>
  <c r="BZ9" i="8"/>
  <c r="BX9" i="8"/>
  <c r="BW9" i="8"/>
  <c r="BU9" i="8"/>
  <c r="BT9" i="8"/>
  <c r="BR9" i="8"/>
  <c r="BQ9" i="8"/>
  <c r="BO9" i="8"/>
  <c r="BN9" i="8"/>
  <c r="BL9" i="8"/>
  <c r="BK9" i="8"/>
  <c r="BI9" i="8"/>
  <c r="BH9" i="8"/>
  <c r="BF9" i="8"/>
  <c r="BE9" i="8"/>
  <c r="BC9" i="8"/>
  <c r="BB9" i="8"/>
  <c r="AZ9" i="8"/>
  <c r="AY9" i="8"/>
  <c r="AW9" i="8"/>
  <c r="AV9" i="8"/>
  <c r="AT9" i="8"/>
  <c r="AS9" i="8"/>
  <c r="AQ9" i="8"/>
  <c r="AP9" i="8"/>
  <c r="AN9" i="8"/>
  <c r="AM9" i="8"/>
  <c r="AK9" i="8"/>
  <c r="AJ9" i="8"/>
  <c r="AH9" i="8"/>
  <c r="AG9" i="8"/>
  <c r="AE9" i="8"/>
  <c r="AD9" i="8"/>
  <c r="AB9" i="8"/>
  <c r="AA9" i="8"/>
  <c r="Y9" i="8"/>
  <c r="X9" i="8"/>
  <c r="V9" i="8"/>
  <c r="U9" i="8"/>
  <c r="S9" i="8"/>
  <c r="R9" i="8"/>
  <c r="P9" i="8"/>
  <c r="O9" i="8"/>
  <c r="M9" i="8"/>
  <c r="L9" i="8"/>
  <c r="J9" i="8"/>
  <c r="I9" i="8"/>
  <c r="EO8" i="8"/>
  <c r="EN8" i="8"/>
  <c r="EL8" i="8"/>
  <c r="EK8" i="8"/>
  <c r="EI8" i="8"/>
  <c r="EH8" i="8"/>
  <c r="EF8" i="8"/>
  <c r="EE8" i="8"/>
  <c r="EC8" i="8"/>
  <c r="EB8" i="8"/>
  <c r="DZ8" i="8"/>
  <c r="DY8" i="8"/>
  <c r="DW8" i="8"/>
  <c r="DV8" i="8"/>
  <c r="DT8" i="8"/>
  <c r="DS8" i="8"/>
  <c r="DQ8" i="8"/>
  <c r="DP8" i="8"/>
  <c r="DN8" i="8"/>
  <c r="DM8" i="8"/>
  <c r="DK8" i="8"/>
  <c r="DJ8" i="8"/>
  <c r="DH8" i="8"/>
  <c r="DG8" i="8"/>
  <c r="DE8" i="8"/>
  <c r="DD8" i="8"/>
  <c r="DB8" i="8"/>
  <c r="DA8" i="8"/>
  <c r="CY8" i="8"/>
  <c r="CX8" i="8"/>
  <c r="CV8" i="8"/>
  <c r="CU8" i="8"/>
  <c r="CS8" i="8"/>
  <c r="CR8" i="8"/>
  <c r="CP8" i="8"/>
  <c r="CO8" i="8"/>
  <c r="CM8" i="8"/>
  <c r="CL8" i="8"/>
  <c r="CJ8" i="8"/>
  <c r="CI8" i="8"/>
  <c r="CG8" i="8"/>
  <c r="CF8" i="8"/>
  <c r="CD8" i="8"/>
  <c r="CC8" i="8"/>
  <c r="CA8" i="8"/>
  <c r="BZ8" i="8"/>
  <c r="BX8" i="8"/>
  <c r="BW8" i="8"/>
  <c r="BU8" i="8"/>
  <c r="BT8" i="8"/>
  <c r="BR8" i="8"/>
  <c r="BQ8" i="8"/>
  <c r="BO8" i="8"/>
  <c r="BN8" i="8"/>
  <c r="BL8" i="8"/>
  <c r="BK8" i="8"/>
  <c r="BI8" i="8"/>
  <c r="BH8" i="8"/>
  <c r="BF8" i="8"/>
  <c r="BE8" i="8"/>
  <c r="BC8" i="8"/>
  <c r="BB8" i="8"/>
  <c r="AZ8" i="8"/>
  <c r="AY8" i="8"/>
  <c r="AW8" i="8"/>
  <c r="AV8" i="8"/>
  <c r="AT8" i="8"/>
  <c r="AS8" i="8"/>
  <c r="AQ8" i="8"/>
  <c r="AP8" i="8"/>
  <c r="AN8" i="8"/>
  <c r="AM8" i="8"/>
  <c r="AK8" i="8"/>
  <c r="AJ8" i="8"/>
  <c r="AH8" i="8"/>
  <c r="AG8" i="8"/>
  <c r="AE8" i="8"/>
  <c r="AD8" i="8"/>
  <c r="AB8" i="8"/>
  <c r="AA8" i="8"/>
  <c r="Y8" i="8"/>
  <c r="X8" i="8"/>
  <c r="V8" i="8"/>
  <c r="U8" i="8"/>
  <c r="S8" i="8"/>
  <c r="R8" i="8"/>
  <c r="P8" i="8"/>
  <c r="O8" i="8"/>
  <c r="M8" i="8"/>
  <c r="L8" i="8"/>
  <c r="J8" i="8"/>
  <c r="I8" i="8"/>
  <c r="EO7" i="8"/>
  <c r="EN7" i="8"/>
  <c r="EL7" i="8"/>
  <c r="EK7" i="8"/>
  <c r="EI7" i="8"/>
  <c r="EH7" i="8"/>
  <c r="EF7" i="8"/>
  <c r="EE7" i="8"/>
  <c r="EC7" i="8"/>
  <c r="EB7" i="8"/>
  <c r="DZ7" i="8"/>
  <c r="DY7" i="8"/>
  <c r="DW7" i="8"/>
  <c r="DV7" i="8"/>
  <c r="DT7" i="8"/>
  <c r="DS7" i="8"/>
  <c r="DQ7" i="8"/>
  <c r="DP7" i="8"/>
  <c r="DN7" i="8"/>
  <c r="DM7" i="8"/>
  <c r="DK7" i="8"/>
  <c r="DJ7" i="8"/>
  <c r="DH7" i="8"/>
  <c r="DG7" i="8"/>
  <c r="DE7" i="8"/>
  <c r="DD7" i="8"/>
  <c r="DB7" i="8"/>
  <c r="DA7" i="8"/>
  <c r="CY7" i="8"/>
  <c r="CX7" i="8"/>
  <c r="CV7" i="8"/>
  <c r="CU7" i="8"/>
  <c r="CS7" i="8"/>
  <c r="CR7" i="8"/>
  <c r="CP7" i="8"/>
  <c r="CO7" i="8"/>
  <c r="CM7" i="8"/>
  <c r="CL7" i="8"/>
  <c r="CJ7" i="8"/>
  <c r="CI7" i="8"/>
  <c r="CG7" i="8"/>
  <c r="CF7" i="8"/>
  <c r="CD7" i="8"/>
  <c r="CC7" i="8"/>
  <c r="CA7" i="8"/>
  <c r="BZ7" i="8"/>
  <c r="BX7" i="8"/>
  <c r="BW7" i="8"/>
  <c r="BU7" i="8"/>
  <c r="BT7" i="8"/>
  <c r="BR7" i="8"/>
  <c r="BQ7" i="8"/>
  <c r="BO7" i="8"/>
  <c r="BN7" i="8"/>
  <c r="BL7" i="8"/>
  <c r="BK7" i="8"/>
  <c r="BI7" i="8"/>
  <c r="BH7" i="8"/>
  <c r="BF7" i="8"/>
  <c r="BE7" i="8"/>
  <c r="BC7" i="8"/>
  <c r="BB7" i="8"/>
  <c r="AZ7" i="8"/>
  <c r="AY7" i="8"/>
  <c r="AW7" i="8"/>
  <c r="AV7" i="8"/>
  <c r="AT7" i="8"/>
  <c r="AS7" i="8"/>
  <c r="AQ7" i="8"/>
  <c r="AP7" i="8"/>
  <c r="AN7" i="8"/>
  <c r="AM7" i="8"/>
  <c r="AK7" i="8"/>
  <c r="AJ7" i="8"/>
  <c r="AH7" i="8"/>
  <c r="AG7" i="8"/>
  <c r="AE7" i="8"/>
  <c r="AD7" i="8"/>
  <c r="AB7" i="8"/>
  <c r="AA7" i="8"/>
  <c r="Y7" i="8"/>
  <c r="X7" i="8"/>
  <c r="V7" i="8"/>
  <c r="U7" i="8"/>
  <c r="S7" i="8"/>
  <c r="R7" i="8"/>
  <c r="P7" i="8"/>
  <c r="O7" i="8"/>
  <c r="M7" i="8"/>
  <c r="L7" i="8"/>
  <c r="J7" i="8"/>
  <c r="I7" i="8"/>
  <c r="EO6" i="8"/>
  <c r="EN6" i="8"/>
  <c r="EL6" i="8"/>
  <c r="EK6" i="8"/>
  <c r="EI6" i="8"/>
  <c r="EH6" i="8"/>
  <c r="EF6" i="8"/>
  <c r="EE6" i="8"/>
  <c r="EC6" i="8"/>
  <c r="EB6" i="8"/>
  <c r="DZ6" i="8"/>
  <c r="DY6" i="8"/>
  <c r="DW6" i="8"/>
  <c r="DV6" i="8"/>
  <c r="DT6" i="8"/>
  <c r="DS6" i="8"/>
  <c r="DQ6" i="8"/>
  <c r="DP6" i="8"/>
  <c r="DN6" i="8"/>
  <c r="DM6" i="8"/>
  <c r="DK6" i="8"/>
  <c r="DJ6" i="8"/>
  <c r="DH6" i="8"/>
  <c r="DG6" i="8"/>
  <c r="DE6" i="8"/>
  <c r="DD6" i="8"/>
  <c r="DB6" i="8"/>
  <c r="DA6" i="8"/>
  <c r="CY6" i="8"/>
  <c r="CX6" i="8"/>
  <c r="CV6" i="8"/>
  <c r="CU6" i="8"/>
  <c r="CS6" i="8"/>
  <c r="CR6" i="8"/>
  <c r="CP6" i="8"/>
  <c r="CO6" i="8"/>
  <c r="CM6" i="8"/>
  <c r="CL6" i="8"/>
  <c r="CJ6" i="8"/>
  <c r="CI6" i="8"/>
  <c r="CG6" i="8"/>
  <c r="CF6" i="8"/>
  <c r="CD6" i="8"/>
  <c r="CC6" i="8"/>
  <c r="CA6" i="8"/>
  <c r="BZ6" i="8"/>
  <c r="BX6" i="8"/>
  <c r="BW6" i="8"/>
  <c r="BU6" i="8"/>
  <c r="BT6" i="8"/>
  <c r="BR6" i="8"/>
  <c r="BQ6" i="8"/>
  <c r="BO6" i="8"/>
  <c r="BN6" i="8"/>
  <c r="BL6" i="8"/>
  <c r="BK6" i="8"/>
  <c r="BI6" i="8"/>
  <c r="BH6" i="8"/>
  <c r="BF6" i="8"/>
  <c r="BE6" i="8"/>
  <c r="BC6" i="8"/>
  <c r="BB6" i="8"/>
  <c r="AZ6" i="8"/>
  <c r="AY6" i="8"/>
  <c r="AW6" i="8"/>
  <c r="AV6" i="8"/>
  <c r="AT6" i="8"/>
  <c r="AS6" i="8"/>
  <c r="AQ6" i="8"/>
  <c r="AP6" i="8"/>
  <c r="AN6" i="8"/>
  <c r="AM6" i="8"/>
  <c r="AK6" i="8"/>
  <c r="AJ6" i="8"/>
  <c r="AH6" i="8"/>
  <c r="AG6" i="8"/>
  <c r="AE6" i="8"/>
  <c r="AD6" i="8"/>
  <c r="AB6" i="8"/>
  <c r="AA6" i="8"/>
  <c r="Y6" i="8"/>
  <c r="X6" i="8"/>
  <c r="V6" i="8"/>
  <c r="U6" i="8"/>
  <c r="S6" i="8"/>
  <c r="R6" i="8"/>
  <c r="P6" i="8"/>
  <c r="O6" i="8"/>
  <c r="M6" i="8"/>
  <c r="L6" i="8"/>
  <c r="J6" i="8"/>
  <c r="I6" i="8"/>
  <c r="EM4" i="8"/>
  <c r="EJ4" i="8"/>
  <c r="EG4" i="8"/>
  <c r="ED4" i="8"/>
  <c r="EA4" i="8"/>
  <c r="DX4" i="8"/>
  <c r="DU4" i="8"/>
  <c r="DR4" i="8"/>
  <c r="DO4" i="8"/>
  <c r="DL4" i="8"/>
  <c r="DI4" i="8"/>
  <c r="DF4" i="8"/>
  <c r="DC4" i="8"/>
  <c r="CZ4" i="8"/>
  <c r="CW4" i="8"/>
  <c r="CT4" i="8"/>
  <c r="CQ4" i="8"/>
  <c r="CN4" i="8"/>
  <c r="CK4" i="8"/>
  <c r="CH4" i="8"/>
  <c r="CE4" i="8"/>
  <c r="CB4" i="8"/>
  <c r="BY4" i="8"/>
  <c r="BV4" i="8"/>
  <c r="BS4" i="8"/>
  <c r="BP4" i="8"/>
  <c r="BM4" i="8"/>
  <c r="BJ4" i="8"/>
  <c r="BG4" i="8"/>
  <c r="BD4" i="8"/>
  <c r="BA4" i="8"/>
  <c r="AX4" i="8"/>
  <c r="AU4" i="8"/>
  <c r="AR4" i="8"/>
  <c r="AO4" i="8"/>
  <c r="AL4" i="8"/>
  <c r="AI4" i="8"/>
  <c r="AF4" i="8"/>
  <c r="AC4" i="8"/>
  <c r="Z4" i="8"/>
  <c r="W4" i="8"/>
  <c r="T4" i="8"/>
  <c r="Q4" i="8"/>
  <c r="N4" i="8"/>
  <c r="K4" i="8"/>
  <c r="H4" i="8"/>
  <c r="EL57" i="8" l="1"/>
  <c r="E105" i="8" s="1"/>
  <c r="F105" i="8" s="1"/>
  <c r="F10" i="8"/>
  <c r="F12" i="8"/>
  <c r="F15" i="8"/>
  <c r="F21" i="8"/>
  <c r="F24" i="8"/>
  <c r="F27" i="8"/>
  <c r="F30" i="8"/>
  <c r="F33" i="8"/>
  <c r="F36" i="8"/>
  <c r="F41" i="8"/>
  <c r="F44" i="8"/>
  <c r="F47" i="8"/>
  <c r="F50" i="8"/>
  <c r="F53" i="8"/>
  <c r="F6" i="8"/>
  <c r="F8" i="8"/>
  <c r="F11" i="8"/>
  <c r="F19" i="8"/>
  <c r="F38" i="8"/>
  <c r="F18" i="8"/>
  <c r="F20" i="8"/>
  <c r="F23" i="8"/>
  <c r="F26" i="8"/>
  <c r="F32" i="8"/>
  <c r="F35" i="8"/>
  <c r="F37" i="8"/>
  <c r="F40" i="8"/>
  <c r="F43" i="8"/>
  <c r="F49" i="8"/>
  <c r="F52" i="8"/>
  <c r="F55" i="8"/>
  <c r="F14" i="8"/>
  <c r="F17" i="8"/>
  <c r="F9" i="8"/>
  <c r="F29" i="8"/>
  <c r="F46" i="8"/>
  <c r="F16" i="8"/>
  <c r="F22" i="8"/>
  <c r="F25" i="8"/>
  <c r="F28" i="8"/>
  <c r="F31" i="8"/>
  <c r="F34" i="8"/>
  <c r="F39" i="8"/>
  <c r="F42" i="8"/>
  <c r="F45" i="8"/>
  <c r="F48" i="8"/>
  <c r="F51" i="8"/>
  <c r="F54" i="8"/>
  <c r="F7" i="8"/>
  <c r="F13" i="8"/>
  <c r="Y75" i="10"/>
  <c r="E84" i="10" s="1"/>
  <c r="F84" i="10" s="1"/>
  <c r="AQ75" i="10"/>
  <c r="E90" i="10" s="1"/>
  <c r="F90" i="10" s="1"/>
  <c r="BI75" i="10"/>
  <c r="E96" i="10" s="1"/>
  <c r="F96" i="10" s="1"/>
  <c r="CA75" i="10"/>
  <c r="E102" i="10" s="1"/>
  <c r="F102" i="10" s="1"/>
  <c r="M75" i="10"/>
  <c r="E80" i="10" s="1"/>
  <c r="F80" i="10" s="1"/>
  <c r="AW75" i="10"/>
  <c r="E92" i="10" s="1"/>
  <c r="F92" i="10" s="1"/>
  <c r="V75" i="10"/>
  <c r="E83" i="10" s="1"/>
  <c r="F83" i="10" s="1"/>
  <c r="AN75" i="10"/>
  <c r="E89" i="10" s="1"/>
  <c r="F89" i="10" s="1"/>
  <c r="BF75" i="10"/>
  <c r="E95" i="10" s="1"/>
  <c r="F95" i="10" s="1"/>
  <c r="BX75" i="10"/>
  <c r="E101" i="10" s="1"/>
  <c r="F101" i="10" s="1"/>
  <c r="CP75" i="10"/>
  <c r="E107" i="10" s="1"/>
  <c r="F107" i="10" s="1"/>
  <c r="CG75" i="10"/>
  <c r="E104" i="10" s="1"/>
  <c r="F104" i="10" s="1"/>
  <c r="DQ75" i="10"/>
  <c r="E116" i="10" s="1"/>
  <c r="F116" i="10" s="1"/>
  <c r="S75" i="10"/>
  <c r="E82" i="10" s="1"/>
  <c r="F82" i="10" s="1"/>
  <c r="DZ75" i="10"/>
  <c r="E119" i="10" s="1"/>
  <c r="F119" i="10" s="1"/>
  <c r="DH75" i="10"/>
  <c r="E113" i="10" s="1"/>
  <c r="F113" i="10" s="1"/>
  <c r="J75" i="10"/>
  <c r="E79" i="10" s="1"/>
  <c r="F79" i="10" s="1"/>
  <c r="AB75" i="10"/>
  <c r="E85" i="10" s="1"/>
  <c r="F85" i="10" s="1"/>
  <c r="AT75" i="10"/>
  <c r="E91" i="10" s="1"/>
  <c r="F91" i="10" s="1"/>
  <c r="BL75" i="10"/>
  <c r="E97" i="10" s="1"/>
  <c r="F97" i="10" s="1"/>
  <c r="CD75" i="10"/>
  <c r="E103" i="10" s="1"/>
  <c r="F103" i="10" s="1"/>
  <c r="CV75" i="10"/>
  <c r="E109" i="10" s="1"/>
  <c r="F109" i="10" s="1"/>
  <c r="DN75" i="10"/>
  <c r="E115" i="10" s="1"/>
  <c r="F115" i="10" s="1"/>
  <c r="EF75" i="10"/>
  <c r="E121" i="10" s="1"/>
  <c r="F121" i="10" s="1"/>
  <c r="P75" i="10"/>
  <c r="E81" i="10" s="1"/>
  <c r="F81" i="10" s="1"/>
  <c r="AH75" i="10"/>
  <c r="E87" i="10" s="1"/>
  <c r="F87" i="10" s="1"/>
  <c r="AZ75" i="10"/>
  <c r="E93" i="10" s="1"/>
  <c r="F93" i="10" s="1"/>
  <c r="BR75" i="10"/>
  <c r="E99" i="10" s="1"/>
  <c r="F99" i="10" s="1"/>
  <c r="CJ75" i="10"/>
  <c r="E105" i="10" s="1"/>
  <c r="F105" i="10" s="1"/>
  <c r="DB75" i="10"/>
  <c r="E111" i="10" s="1"/>
  <c r="F111" i="10" s="1"/>
  <c r="DT75" i="10"/>
  <c r="E117" i="10" s="1"/>
  <c r="F117" i="10" s="1"/>
  <c r="EL75" i="10"/>
  <c r="E123" i="10" s="1"/>
  <c r="F123" i="10" s="1"/>
  <c r="AE75" i="10"/>
  <c r="E86" i="10" s="1"/>
  <c r="F86" i="10" s="1"/>
  <c r="BO75" i="10"/>
  <c r="E98" i="10" s="1"/>
  <c r="F98" i="10" s="1"/>
  <c r="CY75" i="10"/>
  <c r="E110" i="10" s="1"/>
  <c r="F110" i="10" s="1"/>
  <c r="EI75" i="10"/>
  <c r="E122" i="10" s="1"/>
  <c r="F122" i="10" s="1"/>
  <c r="AK75" i="10"/>
  <c r="E88" i="10" s="1"/>
  <c r="F88" i="10" s="1"/>
  <c r="BC75" i="10"/>
  <c r="E94" i="10" s="1"/>
  <c r="F94" i="10" s="1"/>
  <c r="BU75" i="10"/>
  <c r="E100" i="10" s="1"/>
  <c r="F100" i="10" s="1"/>
  <c r="CM75" i="10"/>
  <c r="E106" i="10" s="1"/>
  <c r="F106" i="10" s="1"/>
  <c r="DE75" i="10"/>
  <c r="E112" i="10" s="1"/>
  <c r="F112" i="10" s="1"/>
  <c r="DW75" i="10"/>
  <c r="E118" i="10" s="1"/>
  <c r="F118" i="10" s="1"/>
  <c r="EO75" i="10"/>
  <c r="E124" i="10" s="1"/>
  <c r="F124" i="10" s="1"/>
  <c r="CS75" i="10"/>
  <c r="E108" i="10" s="1"/>
  <c r="F108" i="10" s="1"/>
  <c r="DK75" i="10"/>
  <c r="E114" i="10" s="1"/>
  <c r="F114" i="10" s="1"/>
  <c r="EC75" i="10"/>
  <c r="E120" i="10" s="1"/>
  <c r="F120" i="10" s="1"/>
  <c r="F19" i="10"/>
  <c r="F63" i="10"/>
  <c r="F17" i="10"/>
  <c r="F15" i="10"/>
  <c r="F45" i="10"/>
  <c r="F58" i="10"/>
  <c r="F29" i="10"/>
  <c r="F53" i="10"/>
  <c r="F13" i="10"/>
  <c r="F33" i="10"/>
  <c r="F42" i="10"/>
  <c r="F69" i="10"/>
  <c r="F7" i="10"/>
  <c r="F8" i="10"/>
  <c r="F11" i="10"/>
  <c r="F47" i="10"/>
  <c r="F54" i="10"/>
  <c r="F26" i="10"/>
  <c r="F66" i="10"/>
  <c r="F31" i="10"/>
  <c r="F41" i="10"/>
  <c r="F60" i="10"/>
  <c r="F25" i="10"/>
  <c r="F37" i="10"/>
  <c r="F39" i="10"/>
  <c r="F40" i="10"/>
  <c r="F73" i="10"/>
  <c r="F9" i="10"/>
  <c r="F49" i="10"/>
  <c r="F59" i="10"/>
  <c r="F21" i="10"/>
  <c r="F23" i="10"/>
  <c r="F24" i="10"/>
  <c r="F12" i="10"/>
  <c r="F32" i="10"/>
  <c r="F48" i="10"/>
  <c r="F57" i="10"/>
  <c r="F22" i="10"/>
  <c r="F38" i="10"/>
  <c r="F56" i="10"/>
  <c r="F68" i="10"/>
  <c r="F18" i="10"/>
  <c r="F27" i="10"/>
  <c r="F28" i="10"/>
  <c r="F43" i="10"/>
  <c r="F44" i="10"/>
  <c r="F51" i="10"/>
  <c r="F62" i="10"/>
  <c r="F71" i="10"/>
  <c r="F14" i="10"/>
  <c r="F34" i="10"/>
  <c r="F50" i="10"/>
  <c r="F70" i="10"/>
  <c r="F65" i="10"/>
  <c r="F10" i="10"/>
  <c r="F20" i="10"/>
  <c r="F30" i="10"/>
  <c r="F46" i="10"/>
  <c r="F64" i="10"/>
  <c r="F6" i="10"/>
  <c r="F35" i="10"/>
  <c r="F36" i="10"/>
  <c r="F52" i="10"/>
  <c r="F55" i="10"/>
  <c r="F61" i="10"/>
  <c r="F67" i="10"/>
  <c r="F72" i="10"/>
  <c r="F16" i="10"/>
  <c r="AW57" i="8"/>
  <c r="E74" i="8" s="1"/>
  <c r="F74" i="8" s="1"/>
  <c r="DQ57" i="8"/>
  <c r="E98" i="8" s="1"/>
  <c r="F98" i="8" s="1"/>
  <c r="AQ57" i="8"/>
  <c r="E72" i="8" s="1"/>
  <c r="F72" i="8" s="1"/>
  <c r="AH57" i="8"/>
  <c r="E69" i="8" s="1"/>
  <c r="F69" i="8" s="1"/>
  <c r="BR57" i="8"/>
  <c r="E81" i="8" s="1"/>
  <c r="F81" i="8" s="1"/>
  <c r="DT57" i="8"/>
  <c r="E99" i="8" s="1"/>
  <c r="F99" i="8" s="1"/>
  <c r="AK57" i="8"/>
  <c r="E70" i="8" s="1"/>
  <c r="F70" i="8" s="1"/>
  <c r="BC57" i="8"/>
  <c r="E76" i="8" s="1"/>
  <c r="F76" i="8" s="1"/>
  <c r="CM57" i="8"/>
  <c r="E88" i="8" s="1"/>
  <c r="F88" i="8" s="1"/>
  <c r="EO57" i="8"/>
  <c r="E106" i="8" s="1"/>
  <c r="F106" i="8" s="1"/>
  <c r="V57" i="8"/>
  <c r="E65" i="8" s="1"/>
  <c r="F65" i="8" s="1"/>
  <c r="AN57" i="8"/>
  <c r="E71" i="8" s="1"/>
  <c r="F71" i="8" s="1"/>
  <c r="BF57" i="8"/>
  <c r="E77" i="8" s="1"/>
  <c r="F77" i="8" s="1"/>
  <c r="BX57" i="8"/>
  <c r="E83" i="8" s="1"/>
  <c r="F83" i="8" s="1"/>
  <c r="CP57" i="8"/>
  <c r="E89" i="8" s="1"/>
  <c r="F89" i="8" s="1"/>
  <c r="DH57" i="8"/>
  <c r="E95" i="8" s="1"/>
  <c r="F95" i="8" s="1"/>
  <c r="DZ57" i="8"/>
  <c r="E101" i="8" s="1"/>
  <c r="F101" i="8" s="1"/>
  <c r="AB57" i="8"/>
  <c r="E67" i="8" s="1"/>
  <c r="F67" i="8" s="1"/>
  <c r="BL57" i="8"/>
  <c r="E79" i="8" s="1"/>
  <c r="F79" i="8" s="1"/>
  <c r="CV57" i="8"/>
  <c r="E91" i="8" s="1"/>
  <c r="F91" i="8" s="1"/>
  <c r="EF57" i="8"/>
  <c r="E103" i="8" s="1"/>
  <c r="F103" i="8" s="1"/>
  <c r="Y57" i="8"/>
  <c r="E66" i="8" s="1"/>
  <c r="F66" i="8" s="1"/>
  <c r="BI57" i="8"/>
  <c r="E78" i="8" s="1"/>
  <c r="F78" i="8" s="1"/>
  <c r="CS57" i="8"/>
  <c r="E90" i="8" s="1"/>
  <c r="F90" i="8" s="1"/>
  <c r="EC57" i="8"/>
  <c r="E102" i="8" s="1"/>
  <c r="F102" i="8" s="1"/>
  <c r="AT57" i="8"/>
  <c r="E73" i="8" s="1"/>
  <c r="F73" i="8" s="1"/>
  <c r="CD57" i="8"/>
  <c r="E85" i="8" s="1"/>
  <c r="F85" i="8" s="1"/>
  <c r="J57" i="8"/>
  <c r="E61" i="8" s="1"/>
  <c r="F61" i="8" s="1"/>
  <c r="DN57" i="8"/>
  <c r="E97" i="8" s="1"/>
  <c r="F97" i="8" s="1"/>
  <c r="BO57" i="8"/>
  <c r="E80" i="8" s="1"/>
  <c r="F80" i="8" s="1"/>
  <c r="AE57" i="8"/>
  <c r="E68" i="8" s="1"/>
  <c r="F68" i="8" s="1"/>
  <c r="CY57" i="8"/>
  <c r="E92" i="8" s="1"/>
  <c r="F92" i="8" s="1"/>
  <c r="DK57" i="8"/>
  <c r="E96" i="8" s="1"/>
  <c r="F96" i="8" s="1"/>
  <c r="M57" i="8"/>
  <c r="E62" i="8" s="1"/>
  <c r="F62" i="8" s="1"/>
  <c r="EI57" i="8"/>
  <c r="E104" i="8" s="1"/>
  <c r="F104" i="8" s="1"/>
  <c r="DB57" i="8"/>
  <c r="E93" i="8" s="1"/>
  <c r="F93" i="8" s="1"/>
  <c r="CG57" i="8"/>
  <c r="E86" i="8" s="1"/>
  <c r="F86" i="8" s="1"/>
  <c r="CA57" i="8"/>
  <c r="E84" i="8" s="1"/>
  <c r="F84" i="8" s="1"/>
  <c r="P57" i="8"/>
  <c r="E63" i="8" s="1"/>
  <c r="F63" i="8" s="1"/>
  <c r="AZ57" i="8"/>
  <c r="E75" i="8" s="1"/>
  <c r="F75" i="8" s="1"/>
  <c r="CJ57" i="8"/>
  <c r="E87" i="8" s="1"/>
  <c r="F87" i="8" s="1"/>
  <c r="S57" i="8"/>
  <c r="E64" i="8" s="1"/>
  <c r="F64" i="8" s="1"/>
  <c r="BU57" i="8"/>
  <c r="E82" i="8" s="1"/>
  <c r="F82" i="8" s="1"/>
  <c r="DE57" i="8"/>
  <c r="E94" i="8" s="1"/>
  <c r="F94" i="8" s="1"/>
  <c r="DW57" i="8"/>
  <c r="E100" i="8" s="1"/>
  <c r="F100" i="8" s="1"/>
  <c r="F107" i="8" l="1"/>
  <c r="F125" i="10"/>
  <c r="H45" i="6"/>
  <c r="H104" i="7"/>
</calcChain>
</file>

<file path=xl/sharedStrings.xml><?xml version="1.0" encoding="utf-8"?>
<sst xmlns="http://schemas.openxmlformats.org/spreadsheetml/2006/main" count="6872" uniqueCount="595">
  <si>
    <t>DOOR TAG</t>
  </si>
  <si>
    <t>FROM DOOR LOCATION</t>
  </si>
  <si>
    <t>ROOM NUMBER</t>
  </si>
  <si>
    <t>TO DOOR LOCATION</t>
  </si>
  <si>
    <t>LEVEL</t>
  </si>
  <si>
    <t>INTERIOR/EXTERIOR</t>
  </si>
  <si>
    <t>QUANTITY</t>
  </si>
  <si>
    <t>WALL TYPE</t>
  </si>
  <si>
    <t>JAMB DEPTH</t>
  </si>
  <si>
    <t>DOOR WIDTH</t>
  </si>
  <si>
    <t>DOOR HEIGHT</t>
  </si>
  <si>
    <t>DOOR WITH</t>
  </si>
  <si>
    <t>DOOR THICKNESS</t>
  </si>
  <si>
    <t>DOOR TYPE</t>
  </si>
  <si>
    <t>DOOR MATERIAL</t>
  </si>
  <si>
    <t>DOOR FINISH</t>
  </si>
  <si>
    <t>DOOR CORE</t>
  </si>
  <si>
    <t>FRAME MATERIAL</t>
  </si>
  <si>
    <t>FRAME FINISH</t>
  </si>
  <si>
    <t>SIDELITE</t>
  </si>
  <si>
    <t>FRAME ASSEMBLY</t>
  </si>
  <si>
    <t>FRAME GAUGE</t>
  </si>
  <si>
    <t>FIRE RATING</t>
  </si>
  <si>
    <t>HARDWARE SET</t>
  </si>
  <si>
    <t>HARDWARE NUMBER</t>
  </si>
  <si>
    <t>HARDWARE PREPS</t>
  </si>
  <si>
    <t>102a-1</t>
  </si>
  <si>
    <t>RECEPTION</t>
  </si>
  <si>
    <t>VP OFFICE</t>
  </si>
  <si>
    <t>102a</t>
  </si>
  <si>
    <t>FIRST FLOOR</t>
  </si>
  <si>
    <t>INTERIOR</t>
  </si>
  <si>
    <t>PW3</t>
  </si>
  <si>
    <t>10 1/4"</t>
  </si>
  <si>
    <t>3' - 0"</t>
  </si>
  <si>
    <t>7' - 0"</t>
  </si>
  <si>
    <t>45mm</t>
  </si>
  <si>
    <t>W2</t>
  </si>
  <si>
    <t>WOOD, SOLID CORE</t>
  </si>
  <si>
    <t>STAINED</t>
  </si>
  <si>
    <t>PARTICLEBOARD CORE</t>
  </si>
  <si>
    <t>PRESSED STEEL</t>
  </si>
  <si>
    <t>PAINTED</t>
  </si>
  <si>
    <t>FACE WELD</t>
  </si>
  <si>
    <t>PRIMER</t>
  </si>
  <si>
    <t>OFFICE LOCKSET</t>
  </si>
  <si>
    <t>Hinge + Lock</t>
  </si>
  <si>
    <t>102b-1</t>
  </si>
  <si>
    <t>PRINCIPAL OFFICE</t>
  </si>
  <si>
    <t>102b</t>
  </si>
  <si>
    <t>102c-1</t>
  </si>
  <si>
    <t>102c</t>
  </si>
  <si>
    <t>103-1</t>
  </si>
  <si>
    <t>STAFF ROOM</t>
  </si>
  <si>
    <t>CORRIDOR</t>
  </si>
  <si>
    <t>C100</t>
  </si>
  <si>
    <t>PW1</t>
  </si>
  <si>
    <t>5 7/8"</t>
  </si>
  <si>
    <t>CLASSROOM LOCKSET</t>
  </si>
  <si>
    <t>Hinge + Lock + Closer</t>
  </si>
  <si>
    <t>104a-1</t>
  </si>
  <si>
    <t>MEETING</t>
  </si>
  <si>
    <t>104a</t>
  </si>
  <si>
    <t>INDIGENOUS HUB</t>
  </si>
  <si>
    <t>PW4</t>
  </si>
  <si>
    <t>12 1/4"</t>
  </si>
  <si>
    <t>2*3' - 0"</t>
  </si>
  <si>
    <t>W3</t>
  </si>
  <si>
    <t>Hinge + Lock + Closer + Flush Bolt</t>
  </si>
  <si>
    <t>104b-1</t>
  </si>
  <si>
    <t>OFFICE</t>
  </si>
  <si>
    <t>104b</t>
  </si>
  <si>
    <t>W4</t>
  </si>
  <si>
    <t>104c-1</t>
  </si>
  <si>
    <t>MULTI-PURPOSE</t>
  </si>
  <si>
    <t>SERVERY</t>
  </si>
  <si>
    <t>104c</t>
  </si>
  <si>
    <t>Hinge + Lock + Closer + OH Stop</t>
  </si>
  <si>
    <t>104c-2</t>
  </si>
  <si>
    <t>105-1</t>
  </si>
  <si>
    <t>STAFF WR</t>
  </si>
  <si>
    <t>2' - 8"</t>
  </si>
  <si>
    <t>W1</t>
  </si>
  <si>
    <t>PRIVACY LOCKSET</t>
  </si>
  <si>
    <t>106-1</t>
  </si>
  <si>
    <t>WR</t>
  </si>
  <si>
    <t>107-1</t>
  </si>
  <si>
    <t>ACC. WR</t>
  </si>
  <si>
    <t>STOREROOM LOCKSET</t>
  </si>
  <si>
    <t>Hinge + Lock + Electric Strike</t>
  </si>
  <si>
    <t>108-1</t>
  </si>
  <si>
    <t>109-1</t>
  </si>
  <si>
    <t>GYM</t>
  </si>
  <si>
    <t>PW5</t>
  </si>
  <si>
    <t>*19 1/2"</t>
  </si>
  <si>
    <t>EXIT DEVICE</t>
  </si>
  <si>
    <t>Hinge + Exit Device + Closer</t>
  </si>
  <si>
    <t>112-1</t>
  </si>
  <si>
    <t>C-101</t>
  </si>
  <si>
    <t>ACC.WR</t>
  </si>
  <si>
    <t>113-1</t>
  </si>
  <si>
    <t>114-1</t>
  </si>
  <si>
    <t>115-1</t>
  </si>
  <si>
    <t>116-1</t>
  </si>
  <si>
    <t>LEARNING COMMONS</t>
  </si>
  <si>
    <t>116-2</t>
  </si>
  <si>
    <t>116-4</t>
  </si>
  <si>
    <t>116a-1</t>
  </si>
  <si>
    <t>116a</t>
  </si>
  <si>
    <t>116b-1</t>
  </si>
  <si>
    <t>116b</t>
  </si>
  <si>
    <t>116c-2</t>
  </si>
  <si>
    <t>116c</t>
  </si>
  <si>
    <t>117-1</t>
  </si>
  <si>
    <t>INCLUSIVE EDUCATION</t>
  </si>
  <si>
    <t>118-1</t>
  </si>
  <si>
    <t>TOILETING</t>
  </si>
  <si>
    <t>119-1</t>
  </si>
  <si>
    <t>KINDERGARTEN</t>
  </si>
  <si>
    <t>119a-1</t>
  </si>
  <si>
    <t>119a</t>
  </si>
  <si>
    <t>PW2</t>
  </si>
  <si>
    <t>8 1/4"</t>
  </si>
  <si>
    <t>120-1</t>
  </si>
  <si>
    <t>120a-1</t>
  </si>
  <si>
    <t>120a</t>
  </si>
  <si>
    <t>121-1</t>
  </si>
  <si>
    <t>121a-1</t>
  </si>
  <si>
    <t>121a</t>
  </si>
  <si>
    <t>122-1</t>
  </si>
  <si>
    <t>122a-1</t>
  </si>
  <si>
    <t>122a</t>
  </si>
  <si>
    <t>123-1</t>
  </si>
  <si>
    <t>123a-1</t>
  </si>
  <si>
    <t>123a</t>
  </si>
  <si>
    <t>124-1</t>
  </si>
  <si>
    <t>124a-1</t>
  </si>
  <si>
    <t>124a</t>
  </si>
  <si>
    <t>126-1</t>
  </si>
  <si>
    <t>CUST.</t>
  </si>
  <si>
    <t>0 MIN</t>
  </si>
  <si>
    <t>127-1</t>
  </si>
  <si>
    <t>BEFORE &amp; AFTER SCHOOL</t>
  </si>
  <si>
    <t>127a-1</t>
  </si>
  <si>
    <t>127a</t>
  </si>
  <si>
    <t>Hinge + Lock + OH Stop</t>
  </si>
  <si>
    <t>127a-2</t>
  </si>
  <si>
    <t>127b-1</t>
  </si>
  <si>
    <t>STOR.</t>
  </si>
  <si>
    <t>127b</t>
  </si>
  <si>
    <t>128-1</t>
  </si>
  <si>
    <t>129-1</t>
  </si>
  <si>
    <t>130-1</t>
  </si>
  <si>
    <t>131-1</t>
  </si>
  <si>
    <t>131a-1</t>
  </si>
  <si>
    <t>131a</t>
  </si>
  <si>
    <t>201-1</t>
  </si>
  <si>
    <t>C-200</t>
  </si>
  <si>
    <t>CLASSROOM</t>
  </si>
  <si>
    <t>SECOND FLOOR</t>
  </si>
  <si>
    <t>202-1</t>
  </si>
  <si>
    <t>203-1</t>
  </si>
  <si>
    <t>204-1</t>
  </si>
  <si>
    <t>204a-1</t>
  </si>
  <si>
    <t>204a</t>
  </si>
  <si>
    <t>205-1</t>
  </si>
  <si>
    <t>206-1</t>
  </si>
  <si>
    <t>207-1</t>
  </si>
  <si>
    <t>208-1</t>
  </si>
  <si>
    <t>209-1</t>
  </si>
  <si>
    <t>210-1</t>
  </si>
  <si>
    <t>211-1</t>
  </si>
  <si>
    <t>BREAKOUT ROOM</t>
  </si>
  <si>
    <t>212-1</t>
  </si>
  <si>
    <t>C200b</t>
  </si>
  <si>
    <t>213-1</t>
  </si>
  <si>
    <t>214-1</t>
  </si>
  <si>
    <t>215-1</t>
  </si>
  <si>
    <t>216-1</t>
  </si>
  <si>
    <t>STORAGE</t>
  </si>
  <si>
    <t>Hinge + Exit Device + Electric Strike</t>
  </si>
  <si>
    <t>217-1</t>
  </si>
  <si>
    <t>218-1</t>
  </si>
  <si>
    <t>219-1</t>
  </si>
  <si>
    <t>220-1</t>
  </si>
  <si>
    <t>221-1</t>
  </si>
  <si>
    <t>222-1</t>
  </si>
  <si>
    <t>C200a</t>
  </si>
  <si>
    <t>223-1</t>
  </si>
  <si>
    <t>224-1</t>
  </si>
  <si>
    <t>225-1</t>
  </si>
  <si>
    <t>226-1</t>
  </si>
  <si>
    <t>301-1</t>
  </si>
  <si>
    <t>C-300</t>
  </si>
  <si>
    <t>THIRD FLOOR</t>
  </si>
  <si>
    <t>302-1</t>
  </si>
  <si>
    <t>303-1</t>
  </si>
  <si>
    <t>304-1</t>
  </si>
  <si>
    <t>INCLUSIVE ED.</t>
  </si>
  <si>
    <t>305-1</t>
  </si>
  <si>
    <t>306-1</t>
  </si>
  <si>
    <t>307-1</t>
  </si>
  <si>
    <t>308-1</t>
  </si>
  <si>
    <t>309-1</t>
  </si>
  <si>
    <t>310-1</t>
  </si>
  <si>
    <t>311-1</t>
  </si>
  <si>
    <t>312-1</t>
  </si>
  <si>
    <t>C300b</t>
  </si>
  <si>
    <t>313-1</t>
  </si>
  <si>
    <t>314-1</t>
  </si>
  <si>
    <t>315-1</t>
  </si>
  <si>
    <t>316-1</t>
  </si>
  <si>
    <t>MECH.</t>
  </si>
  <si>
    <t>45 MIN</t>
  </si>
  <si>
    <t>317-1</t>
  </si>
  <si>
    <t>318-1</t>
  </si>
  <si>
    <t>319-1</t>
  </si>
  <si>
    <t>320-1</t>
  </si>
  <si>
    <t>321-1</t>
  </si>
  <si>
    <t>322-1</t>
  </si>
  <si>
    <t>C300a</t>
  </si>
  <si>
    <t>323-1</t>
  </si>
  <si>
    <t>324-1</t>
  </si>
  <si>
    <t>325-1</t>
  </si>
  <si>
    <t>326-1</t>
  </si>
  <si>
    <t>C100-3</t>
  </si>
  <si>
    <t>C101-1</t>
  </si>
  <si>
    <t>PW8</t>
  </si>
  <si>
    <t>13 1/2"</t>
  </si>
  <si>
    <t>PASSAGE SET</t>
  </si>
  <si>
    <t>ELEVATION</t>
  </si>
  <si>
    <t>DOOR GAUGE</t>
  </si>
  <si>
    <t>101-1</t>
  </si>
  <si>
    <t>VEST.</t>
  </si>
  <si>
    <t>EXTERIOR</t>
  </si>
  <si>
    <t>EW3a</t>
  </si>
  <si>
    <t>5 3/4"</t>
  </si>
  <si>
    <t>S7</t>
  </si>
  <si>
    <t>HONEYCOMB</t>
  </si>
  <si>
    <t>Hinge + Exit Device + Closer + OH Stop</t>
  </si>
  <si>
    <t>101-2</t>
  </si>
  <si>
    <t>ST5</t>
  </si>
  <si>
    <t>Hinge + Closer + OH Stop</t>
  </si>
  <si>
    <t>102-1</t>
  </si>
  <si>
    <t>ST4</t>
  </si>
  <si>
    <t>24HM</t>
  </si>
  <si>
    <t>103-2</t>
  </si>
  <si>
    <t>EW5</t>
  </si>
  <si>
    <t>S3</t>
  </si>
  <si>
    <t>EXIT LOCK</t>
  </si>
  <si>
    <t>104-1</t>
  </si>
  <si>
    <t>104-2</t>
  </si>
  <si>
    <t>S4</t>
  </si>
  <si>
    <t>104-4</t>
  </si>
  <si>
    <t>S5</t>
  </si>
  <si>
    <t>108-2</t>
  </si>
  <si>
    <t>109-2</t>
  </si>
  <si>
    <t>EW6</t>
  </si>
  <si>
    <t>S6</t>
  </si>
  <si>
    <t>109-3</t>
  </si>
  <si>
    <t>EW7</t>
  </si>
  <si>
    <t>109-4</t>
  </si>
  <si>
    <t>EW11</t>
  </si>
  <si>
    <t>110-1</t>
  </si>
  <si>
    <t>GYM STOR.</t>
  </si>
  <si>
    <t>ST2</t>
  </si>
  <si>
    <t>110-2</t>
  </si>
  <si>
    <t>S2</t>
  </si>
  <si>
    <t>CLASSROOM DEADBOLT</t>
  </si>
  <si>
    <t>Hinge + Deadbolt + Closer + Flush Bolt</t>
  </si>
  <si>
    <t>111-1</t>
  </si>
  <si>
    <t>116-3</t>
  </si>
  <si>
    <t>117-2</t>
  </si>
  <si>
    <t>EW3b</t>
  </si>
  <si>
    <t>119-2</t>
  </si>
  <si>
    <t>120-2</t>
  </si>
  <si>
    <t>121-2</t>
  </si>
  <si>
    <t>122-2</t>
  </si>
  <si>
    <t>123-2</t>
  </si>
  <si>
    <t>EW4</t>
  </si>
  <si>
    <t>124-2</t>
  </si>
  <si>
    <t>124-3</t>
  </si>
  <si>
    <t>Hinge + Lock + OH Stop + Flush Bolt</t>
  </si>
  <si>
    <t>125-1</t>
  </si>
  <si>
    <t>COMM.</t>
  </si>
  <si>
    <t>ST1</t>
  </si>
  <si>
    <t>Hinge + Lock + Electric Strike + Closer</t>
  </si>
  <si>
    <t>125a-1</t>
  </si>
  <si>
    <t>ELECTRICAL</t>
  </si>
  <si>
    <t>125a</t>
  </si>
  <si>
    <t>S1</t>
  </si>
  <si>
    <t>125b-1</t>
  </si>
  <si>
    <t>125b</t>
  </si>
  <si>
    <t>127-2</t>
  </si>
  <si>
    <t>131-2</t>
  </si>
  <si>
    <t>216a-1</t>
  </si>
  <si>
    <t>216a</t>
  </si>
  <si>
    <t>Hinge + Exit Device + Electric Strike + Closer</t>
  </si>
  <si>
    <t>227-1</t>
  </si>
  <si>
    <t>MECH. MEZZANINE</t>
  </si>
  <si>
    <t>C100-1</t>
  </si>
  <si>
    <t>EW2</t>
  </si>
  <si>
    <t>C100-2</t>
  </si>
  <si>
    <t>EW14</t>
  </si>
  <si>
    <t>C101-2</t>
  </si>
  <si>
    <t xml:space="preserve">Hinge + Exit Device </t>
  </si>
  <si>
    <t>ST-A-1</t>
  </si>
  <si>
    <t>STAIR - A</t>
  </si>
  <si>
    <t>ST-A</t>
  </si>
  <si>
    <t>ST3</t>
  </si>
  <si>
    <t>ST-A-2</t>
  </si>
  <si>
    <t>ST-A-3</t>
  </si>
  <si>
    <t>ST-A-5</t>
  </si>
  <si>
    <t>ST-A-6</t>
  </si>
  <si>
    <t>U/S ROOF DECK (LOW POINT)</t>
  </si>
  <si>
    <t>EW1a</t>
  </si>
  <si>
    <t>ST-B-1</t>
  </si>
  <si>
    <t>STAIR-B</t>
  </si>
  <si>
    <t>ST-B</t>
  </si>
  <si>
    <t>Hinge + Exit Device + Electric Strike + OH Stop</t>
  </si>
  <si>
    <t>ST-C-1</t>
  </si>
  <si>
    <t>STAIR - C</t>
  </si>
  <si>
    <t>ST-C</t>
  </si>
  <si>
    <t>ST-C-2</t>
  </si>
  <si>
    <t>ST-C-3</t>
  </si>
  <si>
    <t>ST-C-4</t>
  </si>
  <si>
    <t>EXCLUDING REASON</t>
  </si>
  <si>
    <t>SELF CLOSER</t>
  </si>
  <si>
    <t>AUTO OPERATOR</t>
  </si>
  <si>
    <t>PANIC E/E</t>
  </si>
  <si>
    <t>PANIC E/O</t>
  </si>
  <si>
    <t>MAG HOLD OPENS</t>
  </si>
  <si>
    <t>1-3/4"</t>
  </si>
  <si>
    <t>102-2</t>
  </si>
  <si>
    <t>Sliding security grille</t>
  </si>
  <si>
    <t>SL1</t>
  </si>
  <si>
    <t>108-3</t>
  </si>
  <si>
    <t>Folding partifion</t>
  </si>
  <si>
    <t>15' - 1"</t>
  </si>
  <si>
    <t>8' - 2"</t>
  </si>
  <si>
    <t>OW1</t>
  </si>
  <si>
    <t>109-5</t>
  </si>
  <si>
    <t>OW2</t>
  </si>
  <si>
    <t>116-5</t>
  </si>
  <si>
    <t>SL2</t>
  </si>
  <si>
    <t>C100-4</t>
  </si>
  <si>
    <t>SL3</t>
  </si>
  <si>
    <t>GAR-1</t>
  </si>
  <si>
    <t>GARBAGE ENCLOSURE</t>
  </si>
  <si>
    <t>GATE</t>
  </si>
  <si>
    <t>3' - 9"</t>
  </si>
  <si>
    <t>6' - 10"</t>
  </si>
  <si>
    <t>STEEL</t>
  </si>
  <si>
    <t>GAR-2</t>
  </si>
  <si>
    <t>GAR-3</t>
  </si>
  <si>
    <t>GAR-4</t>
  </si>
  <si>
    <t>GAR-5</t>
  </si>
  <si>
    <t>ST-A-4</t>
  </si>
  <si>
    <t>Aluminum</t>
  </si>
  <si>
    <t>A1</t>
  </si>
  <si>
    <t>ALUMINUM</t>
  </si>
  <si>
    <t xml:space="preserve">HARDWARE </t>
  </si>
  <si>
    <t>HARDWARE BOM</t>
  </si>
  <si>
    <t>S/N</t>
  </si>
  <si>
    <t>Item</t>
  </si>
  <si>
    <t>Manufacturer</t>
  </si>
  <si>
    <t>Description</t>
  </si>
  <si>
    <t>Finish</t>
  </si>
  <si>
    <t>Total Qty</t>
  </si>
  <si>
    <t>Rate</t>
  </si>
  <si>
    <t>Qty</t>
  </si>
  <si>
    <t>Total Q</t>
  </si>
  <si>
    <t>Amount</t>
  </si>
  <si>
    <t>Surface Closer (Push Side Mount Built in Stop)</t>
  </si>
  <si>
    <t>LCN</t>
  </si>
  <si>
    <t>4040XP SCUSH</t>
  </si>
  <si>
    <t>Aluminum (689)</t>
  </si>
  <si>
    <t>Kick Plate</t>
  </si>
  <si>
    <t>Standard Metal</t>
  </si>
  <si>
    <t>K10A- 10" [254] x (Dr Width - 1-1/2" [38]) - 34.5"</t>
  </si>
  <si>
    <t>Stainless Steel (US32D)</t>
  </si>
  <si>
    <t>Sweep (Brush)</t>
  </si>
  <si>
    <t>Draftseal</t>
  </si>
  <si>
    <t>DS148_NB x (Door Width)</t>
  </si>
  <si>
    <t>Aluminum (C)</t>
  </si>
  <si>
    <t>Astragal</t>
  </si>
  <si>
    <t>DS185_T x (Door Height)</t>
  </si>
  <si>
    <t>Electric Strike (1500lbs Static) Field Selectable (Fail Safe, Fail Secure)</t>
  </si>
  <si>
    <t>HES</t>
  </si>
  <si>
    <t>1500C w/QC-C006P</t>
  </si>
  <si>
    <t>Advance Logic Relay</t>
  </si>
  <si>
    <t>Camden</t>
  </si>
  <si>
    <t>CX-33</t>
  </si>
  <si>
    <t>Power Supply (Centralized)</t>
  </si>
  <si>
    <t>By Others</t>
  </si>
  <si>
    <t>Supplied by Div 26/28</t>
  </si>
  <si>
    <t>Lever (Storeroom Vandlgard)</t>
  </si>
  <si>
    <t>Schlage</t>
  </si>
  <si>
    <t>ND96__ RHO</t>
  </si>
  <si>
    <t>Satin Chrome (US26D)</t>
  </si>
  <si>
    <t>Hinge (5 Knuckle, Heavy Weight)</t>
  </si>
  <si>
    <t>IVES</t>
  </si>
  <si>
    <t>5BB1HW 4-1/2" x 4"</t>
  </si>
  <si>
    <t>Surface Closer (Pull Side Mount)</t>
  </si>
  <si>
    <t>4040XP-REG</t>
  </si>
  <si>
    <t>Stop (Wall)</t>
  </si>
  <si>
    <t>S122</t>
  </si>
  <si>
    <t>Actuator Set (36")</t>
  </si>
  <si>
    <t>CM-7536/4</t>
  </si>
  <si>
    <t>Credential Reader / Controller</t>
  </si>
  <si>
    <t>Supplied by Div 28</t>
  </si>
  <si>
    <t>Hinge (5 knuckle, Heavy Weight, NRP)</t>
  </si>
  <si>
    <t>5BB1HW NRP 4-1/2" x 4"</t>
  </si>
  <si>
    <t>1 Exit Device - VRT (Classroom Trim, Trim Rex)</t>
  </si>
  <si>
    <t>Von Duprin</t>
  </si>
  <si>
    <t>9827L LBR RX996-06 CON</t>
  </si>
  <si>
    <t>Satin Chrome (626)</t>
  </si>
  <si>
    <t>Exit Device - VR (Exit Only, Less Bottom Rod)</t>
  </si>
  <si>
    <t>9827EO LBR</t>
  </si>
  <si>
    <t>Magnetic Lock (DPS, Bond Sensor)</t>
  </si>
  <si>
    <t>Securitron</t>
  </si>
  <si>
    <t>M62BD</t>
  </si>
  <si>
    <t>Keyswitch (Reset / Override)</t>
  </si>
  <si>
    <t>RCI</t>
  </si>
  <si>
    <t>960RO-MO/MO w/ Cylinder</t>
  </si>
  <si>
    <t>-</t>
  </si>
  <si>
    <t>Meeting Stile</t>
  </si>
  <si>
    <t>NGP</t>
  </si>
  <si>
    <t>B606_-BB x (Opening Height)</t>
  </si>
  <si>
    <t>Aluminum (A)</t>
  </si>
  <si>
    <t>Emergency Pull Station</t>
  </si>
  <si>
    <t>904PB (Blue)</t>
  </si>
  <si>
    <t>Pull Station Cover (Blue, Alarmed)</t>
  </si>
  <si>
    <t>STI</t>
  </si>
  <si>
    <t>STI-13030NB</t>
  </si>
  <si>
    <t>Actuator Set (36") w/ Integrated Indicator</t>
  </si>
  <si>
    <t>Push to Open CM-7436/4-LED (Exterior)</t>
  </si>
  <si>
    <t>- Push to Open CM-7436/4 (Interior)</t>
  </si>
  <si>
    <t>Push to Lock CM-7436/4-LED (Interior)</t>
  </si>
  <si>
    <t>Door Position Switch (DPDT)</t>
  </si>
  <si>
    <t>Flair Electronics</t>
  </si>
  <si>
    <t>MSS100-4Y (To match frame color)</t>
  </si>
  <si>
    <t>Black</t>
  </si>
  <si>
    <t>Automatic Operator (Pull Side, Built-in Stop)</t>
  </si>
  <si>
    <t>4632 (Arm to Suit)</t>
  </si>
  <si>
    <t>Exit Device - Rim (Exit Only)</t>
  </si>
  <si>
    <t>98 EO</t>
  </si>
  <si>
    <t>Surface Closer (Push Side Mount)</t>
  </si>
  <si>
    <t>4040XP EDA</t>
  </si>
  <si>
    <t>SmokeSeal</t>
  </si>
  <si>
    <t>DSS66_ x (Door Perimeter) (Confirm Color) - 20'</t>
  </si>
  <si>
    <t>Dark Bronze (D)</t>
  </si>
  <si>
    <t>DSS66_ x (Door Perimeter) (Confirm Color) - 17'</t>
  </si>
  <si>
    <t>Threshold (5" x 1/4" Rise)</t>
  </si>
  <si>
    <t>DS5000_ x (Opening Width) - 3'</t>
  </si>
  <si>
    <t>Flush Bolt (Self Latching, Top Only)</t>
  </si>
  <si>
    <t>F7805 (Metal) or F7905 (Wood) - Wood</t>
  </si>
  <si>
    <t>Lever (Security Classroom)</t>
  </si>
  <si>
    <t>ND78__ RHO</t>
  </si>
  <si>
    <t>Surface Closer (Pull Side, DA, Built-in Holder)</t>
  </si>
  <si>
    <t>4040XP-DEL-H</t>
  </si>
  <si>
    <t>Flush Bolt (Manual, Top Mount Only)</t>
  </si>
  <si>
    <t>F65 - Wood</t>
  </si>
  <si>
    <t>Lever (Classroom)</t>
  </si>
  <si>
    <t>ND70__ RHO</t>
  </si>
  <si>
    <t>Auto Door Bottom (Surface)</t>
  </si>
  <si>
    <t>Pemko</t>
  </si>
  <si>
    <t>STC4131_PK x (Door Width) - 3'</t>
  </si>
  <si>
    <t>Overhead Stop (Surface Heavy Duty)</t>
  </si>
  <si>
    <t>Glynn Johnson</t>
  </si>
  <si>
    <t>90_S</t>
  </si>
  <si>
    <t>Surface Closer (Pull Side, DA)</t>
  </si>
  <si>
    <t>4040XP-DEL-REG</t>
  </si>
  <si>
    <t>Surface Closer (Pull Side, Mount Plate for Concealed Stop)</t>
  </si>
  <si>
    <t>4040XP DEL REG 18TJ ST-1630</t>
  </si>
  <si>
    <t>Overhead Stop (Concealed Heavy Duty)</t>
  </si>
  <si>
    <t>10_S</t>
  </si>
  <si>
    <t>Lever (Office)</t>
  </si>
  <si>
    <t>ND53__ RHO</t>
  </si>
  <si>
    <t>Lever (Passage)</t>
  </si>
  <si>
    <t>ND10S RHO</t>
  </si>
  <si>
    <t>Automatic Operator (Pull Side)</t>
  </si>
  <si>
    <t>Lever (Privacy Lock w/ indicator on Rosette)</t>
  </si>
  <si>
    <t>ND40S RHO OS-OCC</t>
  </si>
  <si>
    <t>Surface Closer (Push Side Mount Built in Holder)</t>
  </si>
  <si>
    <t>4040XP DEL HCUSH</t>
  </si>
  <si>
    <t>K10A- 10" [254] x (Dr Width - 1-1/2" [38]) - 30.5"</t>
  </si>
  <si>
    <t>HARDWARE SET PRICE</t>
  </si>
  <si>
    <t>Hardware Set</t>
  </si>
  <si>
    <t>Qty of Hardware Sets</t>
  </si>
  <si>
    <t>Function</t>
  </si>
  <si>
    <t>Amount/set</t>
  </si>
  <si>
    <t>Total Amount</t>
  </si>
  <si>
    <t>Details</t>
  </si>
  <si>
    <t>Hinge + Exit Device + Mag Lock + Closer + Card Reader + Power Supply</t>
  </si>
  <si>
    <t>Wood</t>
  </si>
  <si>
    <t>Hinge + Lock + Elec Strike + Auto Operator + Actuator + Door Position Switch + Logic Relay + Power Supply</t>
  </si>
  <si>
    <t>Hinge + Lock + Elec Strike + Auto Operator + Actuator Set + Kick Plate + Door Position Switch + Advance Logic Relay + Power Supply</t>
  </si>
  <si>
    <t>Hinge + Exit Device + Closer + Kick Plate</t>
  </si>
  <si>
    <t>Hinge + Flush Bolt + Lock + Closer</t>
  </si>
  <si>
    <t>Hinge + Flush Bolt + Lock + Closer + Auto Door Bottom</t>
  </si>
  <si>
    <t>Hinge + Lock + Kick Plate + OH Stop</t>
  </si>
  <si>
    <t>Hinge + Lock + Closer + Kick Plate</t>
  </si>
  <si>
    <t>Hinge + Lock + Kick Plate</t>
  </si>
  <si>
    <t>Hinge + Lock + Closer + Kick Plate + OH Stop</t>
  </si>
  <si>
    <t>Hinge + Lock + Elec Strike + Auto Operator + Actuator Set + Kick Plate</t>
  </si>
  <si>
    <t>Hinge + Lock + Elec Strike + Auto Operator + Actuator + Kick Plate + Advance Logic Relay + Card Reader + Power Supply</t>
  </si>
  <si>
    <t>TOTAL</t>
  </si>
  <si>
    <t>Hinge (5 Knuckle, Heavy Weight, Stainless, NRP)</t>
  </si>
  <si>
    <t>Flush Bolt (Manual)</t>
  </si>
  <si>
    <t>F65 - HM</t>
  </si>
  <si>
    <t>Deadbolt (Classroom)</t>
  </si>
  <si>
    <t>B663__</t>
  </si>
  <si>
    <t>Push Pull (Deadbolt)</t>
  </si>
  <si>
    <t>H411 / K11A-3</t>
  </si>
  <si>
    <t>Weather-Strip</t>
  </si>
  <si>
    <t>DS130_R x (Door Perimeter) - 20'</t>
  </si>
  <si>
    <t>Threshold (8" x 1/2" Rise)</t>
  </si>
  <si>
    <t>DS800_x (Opening Width) - 6'</t>
  </si>
  <si>
    <t>Mullion (Keyed Removable)</t>
  </si>
  <si>
    <t>KR4954 x (Opening Height) x 154 w/ Cyl to Suit</t>
  </si>
  <si>
    <t>Lever (Exit Lock)</t>
  </si>
  <si>
    <t>ND25D RHO</t>
  </si>
  <si>
    <t>DS130_R x (Door Perimeter) - 17'</t>
  </si>
  <si>
    <t>DS800_x (Opening Width) - 3'</t>
  </si>
  <si>
    <t>Automatic Operator Set (Closer, Overhead Stop) (Push Side)</t>
  </si>
  <si>
    <t>Operator 4642 x Long Arm (Arm TBC to Suit Jamb Depth) - 3'</t>
  </si>
  <si>
    <t>Overhead Stops 100S (Series) x ADJ - 3'</t>
  </si>
  <si>
    <t>Stainless Steel (630)</t>
  </si>
  <si>
    <t>Flush Bolt (Self Latching, Top + Bottom Set)</t>
  </si>
  <si>
    <t>F7845 (Metal) or F7945 (Wood) - HM</t>
  </si>
  <si>
    <t>Lever (Storeroom - 3/4" Latch)</t>
  </si>
  <si>
    <t>ND80__ RHO 14-042 (3/4" Latch)</t>
  </si>
  <si>
    <t>Coordinator</t>
  </si>
  <si>
    <t>Rockwood</t>
  </si>
  <si>
    <t>1700-6'</t>
  </si>
  <si>
    <t>Aluminum (US28)</t>
  </si>
  <si>
    <t>Hinge (5 Knuckle, Heavy Weight, EL 8 Wire)</t>
  </si>
  <si>
    <t>5BB1HW TW8 CON 4-1/2" x 4" x CON-6P x CON-__ (Length to Suit, Thru Door) - For HM For Exit Device</t>
  </si>
  <si>
    <t>Hinge (5 Knuckle, Heavy Weight, EL 4 Wire)</t>
  </si>
  <si>
    <t>5BB1HW TW4 CON 4-1/2" x 4" x CON-6P x CON-__ (Length to Suit, Thru Door) - For HM For Exit Device</t>
  </si>
  <si>
    <t>KR9954 x (Opening Height) x 154 w/ Cyl to Suit</t>
  </si>
  <si>
    <t>Exit Device - N Rim (Storeroom, Less Pull) (Electric Latch Retraction, REX)</t>
  </si>
  <si>
    <t>RX QEL35A-NL-OP-F CON (24VDC) w/Cyl to Suit</t>
  </si>
  <si>
    <t>Exit Device - N Rim (Exit Only) (REX)</t>
  </si>
  <si>
    <t>RX 35A-EO-F CON</t>
  </si>
  <si>
    <t>Pull for Exit Device (33 or 35 Series)</t>
  </si>
  <si>
    <t>386 (NL or DT to Suit)</t>
  </si>
  <si>
    <t>Automatic Operator Set (Closer, Overhead Stop) (Push Side, Built-in Stop)</t>
  </si>
  <si>
    <t>Operator 4642 x Long Arm (Arm TBC to Suit Jamb Depth) - 6'</t>
  </si>
  <si>
    <t>Closer 4040XP Top Jamb x Long Arm (Arm TBC to Suit Jamb Depth)</t>
  </si>
  <si>
    <t>Closer Plate 4040XP-18G</t>
  </si>
  <si>
    <t>Overhead Stops 100S (Series) x ADJ</t>
  </si>
  <si>
    <t>CM-7536/4-WT (Exterior)</t>
  </si>
  <si>
    <t>RX QEL35A-NL-OP CON (24VDC) w/Cyl to Suit</t>
  </si>
  <si>
    <t>RX 35A-EO CON</t>
  </si>
  <si>
    <t>Hinge (5 Knuckle, Stainless, Heavy Weight, EL 8 Wire)</t>
  </si>
  <si>
    <t>5BB1HW TW8 CON 4-1/2" x 4" x CON-6P x CON-__ (Length to Suit, Thru Door)</t>
  </si>
  <si>
    <t>Exit Device (F) VRT (Passage,Less Bottom Rod)</t>
  </si>
  <si>
    <t>9827L-BE-F 06 LBR</t>
  </si>
  <si>
    <t>Exit Device (F) VRT (Exit Only,Less Bottom Rod)</t>
  </si>
  <si>
    <t>9827EO-F LBR</t>
  </si>
  <si>
    <t>Hold Open (Electromagnetic)</t>
  </si>
  <si>
    <t>SEM7850 or equal (By Div 26)</t>
  </si>
  <si>
    <t>DS5000_ x (Opening Width) - 6'</t>
  </si>
  <si>
    <t>Exit Device - Rim (Passage Trim)</t>
  </si>
  <si>
    <t>98L-BE-F 06</t>
  </si>
  <si>
    <t>Electric Strike Rim (Rated) (1500lbs Static)</t>
  </si>
  <si>
    <t>9500 w/QC-C006P</t>
  </si>
  <si>
    <t>Surface Closer (Pull Side Mount, Built-in Holder)</t>
  </si>
  <si>
    <t>4040XP-H</t>
  </si>
  <si>
    <t>Lever (Keyed Both Sides Storeroom)</t>
  </si>
  <si>
    <t>ND82__ RHO</t>
  </si>
  <si>
    <t>4040XP SHCUSH</t>
  </si>
  <si>
    <t>Push Bar &amp; Pull Offset</t>
  </si>
  <si>
    <t>9190EZHD-12" (13" OA x 12" CTC) x (To Suit Door Width)</t>
  </si>
  <si>
    <t>Exit Device (F) VRT (Storeroom,Less Bottom Rod,EL Latch Retraction)</t>
  </si>
  <si>
    <t>QEL9827L-NL-F 06 LBR CON (24VDC) w/Cyl to Suit</t>
  </si>
  <si>
    <t>Hinge + Flush Bolt + Deadbolt + Closer + Kick Plate</t>
  </si>
  <si>
    <t>HM</t>
  </si>
  <si>
    <t>Hinge + Mullion + Exit Device + Closer + Kick Plate</t>
  </si>
  <si>
    <t>Hinge + Lock + Elec Strike + Auto Door Operator + Actuator + Advance Logic Relay + Power Supply</t>
  </si>
  <si>
    <t>Hinge + Flush Bolt + Lock + Closer + Coordinator</t>
  </si>
  <si>
    <t>Hinge + Mullion + Exit Device + Auto Operator + Actuator + Card Reader + Power Supply</t>
  </si>
  <si>
    <t>Hinge + Mullion + Exit Device + Auto Ooperator + Actuator Set + Logic Relay + Card Reader + Power Supply</t>
  </si>
  <si>
    <t>Hinge + Exit Device + Auto Door Oerator + Actuator Set + Advance Logic Relay + Card Reader + Power Supply</t>
  </si>
  <si>
    <t>Hinge + Exit Device + Closer + Kick Plate + Hold Open</t>
  </si>
  <si>
    <t>Hinge + Exit Device + Elec Strike + Auto Operator + Actuator + Kick Plate</t>
  </si>
  <si>
    <t>Hinge + Flush Bolt + Lock + OH Stop</t>
  </si>
  <si>
    <t>Hinge + Flush Bolt + Lock + Closer + Kick Plate</t>
  </si>
  <si>
    <t>Hinge + Auto Operator + Actuator + Kick Plate</t>
  </si>
  <si>
    <t>Hinge + Exit Device + Closer + Kick Plate + Hold Open + Credential Reader + Power Supply</t>
  </si>
  <si>
    <t>Hinge + Lock + Elec Strike + Closer + Kick Plate + Card Reader + Power Supply</t>
  </si>
  <si>
    <t>We haave followed HW Set</t>
  </si>
  <si>
    <t>Finish and Mfg as per specs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</si>
</sst>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18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</font>
    <font>
      <sz val="18"/>
      <color rgb="FF005470"/>
      <name val="Gotham Black"/>
      <family val="3"/>
    </font>
    <font>
      <sz val="11"/>
      <color rgb="FF7B868C"/>
      <name val="Gotham"/>
    </font>
    <font>
      <b/>
      <sz val="14"/>
      <color theme="1"/>
      <name val="Calibri"/>
      <family val="2"/>
      <scheme val="minor"/>
    </font>
    <font>
      <b/>
      <sz val="11"/>
      <color theme="1"/>
      <name val="Gotham XLight"/>
    </font>
    <font>
      <sz val="11"/>
      <color theme="1"/>
      <name val="Gotham XLight"/>
      <family val="3"/>
    </font>
    <font>
      <sz val="10"/>
      <name val="Arial MT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Gotham XLight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68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 shrinkToFit="1"/>
    </xf>
    <xf numFmtId="0" fontId="6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9" fillId="0" borderId="0" xfId="1" applyFont="1" applyAlignment="1">
      <alignment horizontal="center" vertical="center"/>
    </xf>
    <xf numFmtId="43" fontId="0" fillId="0" borderId="0" xfId="2" applyFont="1" applyAlignment="1">
      <alignment horizontal="center" vertical="center"/>
    </xf>
    <xf numFmtId="0" fontId="12" fillId="6" borderId="10" xfId="2" applyNumberFormat="1" applyFont="1" applyFill="1" applyBorder="1" applyAlignment="1">
      <alignment horizontal="center" vertical="center"/>
    </xf>
    <xf numFmtId="0" fontId="12" fillId="6" borderId="12" xfId="2" applyNumberFormat="1" applyFont="1" applyFill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1" applyFont="1" applyBorder="1" applyAlignment="1">
      <alignment horizontal="center" vertical="center" wrapText="1"/>
    </xf>
    <xf numFmtId="164" fontId="2" fillId="0" borderId="2" xfId="1" applyNumberFormat="1" applyBorder="1" applyAlignment="1">
      <alignment horizontal="center" vertical="center"/>
    </xf>
    <xf numFmtId="43" fontId="0" fillId="0" borderId="2" xfId="2" applyFont="1" applyFill="1" applyBorder="1" applyAlignment="1">
      <alignment horizontal="center" vertical="center"/>
    </xf>
    <xf numFmtId="43" fontId="0" fillId="0" borderId="10" xfId="2" applyFont="1" applyBorder="1" applyAlignment="1">
      <alignment horizontal="center" vertical="center"/>
    </xf>
    <xf numFmtId="43" fontId="0" fillId="0" borderId="12" xfId="2" applyFont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/>
    </xf>
    <xf numFmtId="0" fontId="0" fillId="0" borderId="0" xfId="1" applyFont="1" applyAlignment="1">
      <alignment horizontal="center" vertical="center"/>
    </xf>
    <xf numFmtId="43" fontId="0" fillId="0" borderId="2" xfId="2" applyFont="1" applyBorder="1" applyAlignment="1">
      <alignment horizontal="center" vertical="center"/>
    </xf>
    <xf numFmtId="43" fontId="14" fillId="7" borderId="2" xfId="2" applyFont="1" applyFill="1" applyBorder="1" applyAlignment="1">
      <alignment horizontal="center" vertical="center"/>
    </xf>
    <xf numFmtId="43" fontId="14" fillId="7" borderId="10" xfId="2" applyFont="1" applyFill="1" applyBorder="1" applyAlignment="1">
      <alignment horizontal="center" vertical="center"/>
    </xf>
    <xf numFmtId="43" fontId="0" fillId="7" borderId="12" xfId="2" applyFont="1" applyFill="1" applyBorder="1" applyAlignment="1">
      <alignment horizontal="center" vertical="center"/>
    </xf>
    <xf numFmtId="43" fontId="14" fillId="7" borderId="12" xfId="2" applyFont="1" applyFill="1" applyBorder="1" applyAlignment="1">
      <alignment horizontal="center" vertical="center"/>
    </xf>
    <xf numFmtId="0" fontId="16" fillId="8" borderId="2" xfId="2" applyNumberFormat="1" applyFont="1" applyFill="1" applyBorder="1" applyAlignment="1">
      <alignment horizontal="center" vertical="center" wrapText="1"/>
    </xf>
    <xf numFmtId="43" fontId="0" fillId="0" borderId="0" xfId="2" applyFont="1" applyAlignment="1">
      <alignment horizontal="center" vertical="center" wrapText="1"/>
    </xf>
    <xf numFmtId="0" fontId="0" fillId="0" borderId="2" xfId="2" applyNumberFormat="1" applyFont="1" applyBorder="1" applyAlignment="1">
      <alignment horizontal="center" vertical="center"/>
    </xf>
    <xf numFmtId="0" fontId="2" fillId="0" borderId="13" xfId="1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43" fontId="2" fillId="0" borderId="2" xfId="1" applyNumberFormat="1" applyBorder="1" applyAlignment="1">
      <alignment horizontal="center" vertical="center"/>
    </xf>
    <xf numFmtId="0" fontId="0" fillId="0" borderId="13" xfId="1" applyFont="1" applyBorder="1" applyAlignment="1">
      <alignment horizontal="center" vertical="center"/>
    </xf>
    <xf numFmtId="43" fontId="14" fillId="7" borderId="15" xfId="2" applyFont="1" applyFill="1" applyBorder="1" applyAlignment="1">
      <alignment horizontal="center" vertical="center"/>
    </xf>
    <xf numFmtId="43" fontId="14" fillId="7" borderId="16" xfId="2" applyFont="1" applyFill="1" applyBorder="1" applyAlignment="1">
      <alignment horizontal="center" vertical="center"/>
    </xf>
    <xf numFmtId="43" fontId="10" fillId="7" borderId="16" xfId="2" applyFont="1" applyFill="1" applyBorder="1" applyAlignment="1">
      <alignment horizontal="center" vertical="center"/>
    </xf>
    <xf numFmtId="43" fontId="14" fillId="7" borderId="17" xfId="2" applyFont="1" applyFill="1" applyBorder="1" applyAlignment="1">
      <alignment horizontal="center" vertical="center"/>
    </xf>
    <xf numFmtId="0" fontId="17" fillId="0" borderId="0" xfId="0" applyFont="1" applyAlignment="1">
      <alignment horizontal="left" vertical="top"/>
    </xf>
    <xf numFmtId="0" fontId="1" fillId="0" borderId="2" xfId="1" applyFont="1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top"/>
    </xf>
    <xf numFmtId="0" fontId="7" fillId="0" borderId="2" xfId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1" fillId="6" borderId="2" xfId="1" applyFont="1" applyFill="1" applyBorder="1" applyAlignment="1">
      <alignment horizontal="center" vertical="center"/>
    </xf>
    <xf numFmtId="0" fontId="11" fillId="6" borderId="2" xfId="2" applyNumberFormat="1" applyFont="1" applyFill="1" applyBorder="1" applyAlignment="1">
      <alignment horizontal="center" vertical="center"/>
    </xf>
    <xf numFmtId="0" fontId="12" fillId="6" borderId="11" xfId="2" applyNumberFormat="1" applyFont="1" applyFill="1" applyBorder="1" applyAlignment="1">
      <alignment horizontal="center" vertical="center"/>
    </xf>
    <xf numFmtId="0" fontId="12" fillId="6" borderId="9" xfId="2" applyNumberFormat="1" applyFont="1" applyFill="1" applyBorder="1" applyAlignment="1">
      <alignment horizontal="center" vertical="center"/>
    </xf>
    <xf numFmtId="0" fontId="12" fillId="6" borderId="10" xfId="2" applyNumberFormat="1" applyFont="1" applyFill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110</xdr:row>
      <xdr:rowOff>0</xdr:rowOff>
    </xdr:from>
    <xdr:to>
      <xdr:col>16</xdr:col>
      <xdr:colOff>944245</xdr:colOff>
      <xdr:row>132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17811750"/>
          <a:ext cx="13688695" cy="3569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16</xdr:col>
      <xdr:colOff>1152525</xdr:colOff>
      <xdr:row>160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1700" y="22021800"/>
          <a:ext cx="13896975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13</xdr:col>
      <xdr:colOff>371475</xdr:colOff>
      <xdr:row>198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52775" y="27365325"/>
          <a:ext cx="9525000" cy="4848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78</xdr:row>
      <xdr:rowOff>66675</xdr:rowOff>
    </xdr:from>
    <xdr:to>
      <xdr:col>16</xdr:col>
      <xdr:colOff>504825</xdr:colOff>
      <xdr:row>102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6475" y="12696825"/>
          <a:ext cx="13896975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276225</xdr:colOff>
      <xdr:row>52</xdr:row>
      <xdr:rowOff>142875</xdr:rowOff>
    </xdr:from>
    <xdr:to>
      <xdr:col>16</xdr:col>
      <xdr:colOff>458470</xdr:colOff>
      <xdr:row>74</xdr:row>
      <xdr:rowOff>150495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8562975"/>
          <a:ext cx="13688695" cy="3569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11</xdr:col>
      <xdr:colOff>238125</xdr:colOff>
      <xdr:row>139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2175" y="17811750"/>
          <a:ext cx="9525000" cy="4848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8"/>
  <sheetViews>
    <sheetView topLeftCell="T1" workbookViewId="0">
      <pane ySplit="1" topLeftCell="A2" activePane="bottomLeft" state="frozen"/>
      <selection activeCell="I29" sqref="I29"/>
      <selection pane="bottomLeft" activeCell="AC2" sqref="AC2:AC103"/>
    </sheetView>
  </sheetViews>
  <sheetFormatPr defaultColWidth="9.33203125" defaultRowHeight="12.75"/>
  <cols>
    <col min="1" max="1" width="11.6640625" customWidth="1"/>
    <col min="2" max="2" width="26.33203125" customWidth="1"/>
    <col min="3" max="3" width="17.1640625" customWidth="1"/>
    <col min="4" max="4" width="26.33203125" customWidth="1"/>
    <col min="5" max="5" width="17.1640625" customWidth="1"/>
    <col min="6" max="6" width="16.33203125" customWidth="1"/>
    <col min="7" max="7" width="21" customWidth="1"/>
    <col min="8" max="8" width="11.33203125" customWidth="1"/>
    <col min="9" max="9" width="12.1640625" customWidth="1"/>
    <col min="10" max="10" width="13.5" customWidth="1"/>
    <col min="11" max="11" width="14.5" customWidth="1"/>
    <col min="12" max="12" width="14.83203125" customWidth="1"/>
    <col min="13" max="13" width="13" customWidth="1"/>
    <col min="14" max="14" width="14.83203125" customWidth="1"/>
    <col min="15" max="15" width="18.5" customWidth="1"/>
    <col min="16" max="16" width="12.33203125" customWidth="1"/>
    <col min="17" max="17" width="21.1640625" customWidth="1"/>
    <col min="18" max="18" width="14.1640625" customWidth="1"/>
    <col min="19" max="19" width="23.33203125" customWidth="1"/>
    <col min="20" max="20" width="14.1640625" customWidth="1"/>
    <col min="21" max="21" width="18.83203125" customWidth="1"/>
    <col min="22" max="22" width="15" customWidth="1"/>
    <col min="23" max="23" width="9.1640625" customWidth="1"/>
    <col min="24" max="24" width="19.33203125" customWidth="1"/>
    <col min="25" max="25" width="15.6640625" customWidth="1"/>
    <col min="26" max="26" width="15" customWidth="1"/>
    <col min="27" max="27" width="13.1640625" customWidth="1"/>
    <col min="28" max="28" width="23.33203125" customWidth="1"/>
    <col min="29" max="29" width="22.5" customWidth="1"/>
    <col min="30" max="30" width="36.6640625" customWidth="1"/>
  </cols>
  <sheetData>
    <row r="1" spans="1:30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10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15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18</v>
      </c>
      <c r="AA1" s="4" t="s">
        <v>22</v>
      </c>
      <c r="AB1" s="4" t="s">
        <v>23</v>
      </c>
      <c r="AC1" s="4" t="s">
        <v>24</v>
      </c>
      <c r="AD1" s="4" t="s">
        <v>25</v>
      </c>
    </row>
    <row r="2" spans="1:30">
      <c r="A2" s="2" t="s">
        <v>26</v>
      </c>
      <c r="B2" s="2" t="s">
        <v>27</v>
      </c>
      <c r="C2" s="3">
        <v>102</v>
      </c>
      <c r="D2" s="2" t="s">
        <v>28</v>
      </c>
      <c r="E2" s="2" t="s">
        <v>29</v>
      </c>
      <c r="F2" s="2" t="s">
        <v>30</v>
      </c>
      <c r="G2" s="2" t="s">
        <v>31</v>
      </c>
      <c r="H2" s="2">
        <v>1</v>
      </c>
      <c r="I2" s="2" t="s">
        <v>32</v>
      </c>
      <c r="J2" s="2" t="s">
        <v>33</v>
      </c>
      <c r="K2" s="2" t="s">
        <v>34</v>
      </c>
      <c r="L2" s="2" t="s">
        <v>35</v>
      </c>
      <c r="M2" s="3">
        <v>914</v>
      </c>
      <c r="N2" s="3">
        <v>2134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39</v>
      </c>
      <c r="U2" s="2" t="s">
        <v>41</v>
      </c>
      <c r="V2" s="2" t="s">
        <v>42</v>
      </c>
      <c r="W2" s="2"/>
      <c r="X2" s="2" t="s">
        <v>43</v>
      </c>
      <c r="Y2" s="2">
        <v>18</v>
      </c>
      <c r="Z2" s="5" t="s">
        <v>44</v>
      </c>
      <c r="AA2" s="45"/>
      <c r="AB2" s="45" t="s">
        <v>45</v>
      </c>
      <c r="AC2" s="46">
        <v>30</v>
      </c>
      <c r="AD2" s="45" t="s">
        <v>46</v>
      </c>
    </row>
    <row r="3" spans="1:30">
      <c r="A3" s="2" t="s">
        <v>47</v>
      </c>
      <c r="B3" s="2" t="s">
        <v>27</v>
      </c>
      <c r="C3" s="3">
        <v>102</v>
      </c>
      <c r="D3" s="2" t="s">
        <v>48</v>
      </c>
      <c r="E3" s="2" t="s">
        <v>49</v>
      </c>
      <c r="F3" s="2" t="s">
        <v>30</v>
      </c>
      <c r="G3" s="2" t="s">
        <v>31</v>
      </c>
      <c r="H3" s="2">
        <v>1</v>
      </c>
      <c r="I3" s="2" t="s">
        <v>32</v>
      </c>
      <c r="J3" s="2" t="s">
        <v>33</v>
      </c>
      <c r="K3" s="2" t="s">
        <v>34</v>
      </c>
      <c r="L3" s="2" t="s">
        <v>35</v>
      </c>
      <c r="M3" s="3">
        <v>914</v>
      </c>
      <c r="N3" s="3">
        <v>2134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39</v>
      </c>
      <c r="U3" s="2" t="s">
        <v>41</v>
      </c>
      <c r="V3" s="2" t="s">
        <v>42</v>
      </c>
      <c r="W3" s="2"/>
      <c r="X3" s="2" t="s">
        <v>43</v>
      </c>
      <c r="Y3" s="2">
        <v>18</v>
      </c>
      <c r="Z3" s="5" t="s">
        <v>44</v>
      </c>
      <c r="AA3" s="45"/>
      <c r="AB3" s="45" t="s">
        <v>45</v>
      </c>
      <c r="AC3" s="46">
        <v>30</v>
      </c>
      <c r="AD3" s="45" t="s">
        <v>46</v>
      </c>
    </row>
    <row r="4" spans="1:30">
      <c r="A4" s="2" t="s">
        <v>50</v>
      </c>
      <c r="B4" s="2" t="s">
        <v>28</v>
      </c>
      <c r="C4" s="2" t="s">
        <v>51</v>
      </c>
      <c r="D4" s="2" t="s">
        <v>27</v>
      </c>
      <c r="E4" s="3">
        <v>102</v>
      </c>
      <c r="F4" s="2" t="s">
        <v>30</v>
      </c>
      <c r="G4" s="2" t="s">
        <v>31</v>
      </c>
      <c r="H4" s="2">
        <v>1</v>
      </c>
      <c r="I4" s="2" t="s">
        <v>32</v>
      </c>
      <c r="J4" s="2" t="s">
        <v>33</v>
      </c>
      <c r="K4" s="2" t="s">
        <v>34</v>
      </c>
      <c r="L4" s="2" t="s">
        <v>35</v>
      </c>
      <c r="M4" s="3">
        <v>914</v>
      </c>
      <c r="N4" s="3">
        <v>2134</v>
      </c>
      <c r="O4" s="2" t="s">
        <v>36</v>
      </c>
      <c r="P4" s="2" t="s">
        <v>37</v>
      </c>
      <c r="Q4" s="2" t="s">
        <v>38</v>
      </c>
      <c r="R4" s="2" t="s">
        <v>39</v>
      </c>
      <c r="S4" s="2" t="s">
        <v>40</v>
      </c>
      <c r="T4" s="2" t="s">
        <v>39</v>
      </c>
      <c r="U4" s="2" t="s">
        <v>41</v>
      </c>
      <c r="V4" s="2" t="s">
        <v>42</v>
      </c>
      <c r="W4" s="2"/>
      <c r="X4" s="2" t="s">
        <v>43</v>
      </c>
      <c r="Y4" s="2">
        <v>18</v>
      </c>
      <c r="Z4" s="5" t="s">
        <v>44</v>
      </c>
      <c r="AA4" s="45"/>
      <c r="AB4" s="45" t="s">
        <v>45</v>
      </c>
      <c r="AC4" s="46">
        <v>30</v>
      </c>
      <c r="AD4" s="45" t="s">
        <v>46</v>
      </c>
    </row>
    <row r="5" spans="1:30">
      <c r="A5" s="2" t="s">
        <v>52</v>
      </c>
      <c r="B5" s="2" t="s">
        <v>53</v>
      </c>
      <c r="C5" s="3">
        <v>103</v>
      </c>
      <c r="D5" s="2" t="s">
        <v>54</v>
      </c>
      <c r="E5" s="2" t="s">
        <v>55</v>
      </c>
      <c r="F5" s="2" t="s">
        <v>30</v>
      </c>
      <c r="G5" s="2" t="s">
        <v>31</v>
      </c>
      <c r="H5" s="2">
        <v>1</v>
      </c>
      <c r="I5" s="2" t="s">
        <v>56</v>
      </c>
      <c r="J5" s="2" t="s">
        <v>57</v>
      </c>
      <c r="K5" s="2" t="s">
        <v>34</v>
      </c>
      <c r="L5" s="2" t="s">
        <v>35</v>
      </c>
      <c r="M5" s="3">
        <v>914</v>
      </c>
      <c r="N5" s="3">
        <v>2134</v>
      </c>
      <c r="O5" s="2" t="s">
        <v>36</v>
      </c>
      <c r="P5" s="2" t="s">
        <v>37</v>
      </c>
      <c r="Q5" s="2" t="s">
        <v>38</v>
      </c>
      <c r="R5" s="2" t="s">
        <v>39</v>
      </c>
      <c r="S5" s="2" t="s">
        <v>40</v>
      </c>
      <c r="T5" s="2" t="s">
        <v>39</v>
      </c>
      <c r="U5" s="2" t="s">
        <v>41</v>
      </c>
      <c r="V5" s="2" t="s">
        <v>42</v>
      </c>
      <c r="W5" s="2"/>
      <c r="X5" s="2" t="s">
        <v>43</v>
      </c>
      <c r="Y5" s="2">
        <v>18</v>
      </c>
      <c r="Z5" s="5" t="s">
        <v>44</v>
      </c>
      <c r="AA5" s="45"/>
      <c r="AB5" s="45" t="s">
        <v>58</v>
      </c>
      <c r="AC5" s="46">
        <v>22</v>
      </c>
      <c r="AD5" s="45" t="s">
        <v>59</v>
      </c>
    </row>
    <row r="6" spans="1:30">
      <c r="A6" s="2" t="s">
        <v>60</v>
      </c>
      <c r="B6" s="2" t="s">
        <v>61</v>
      </c>
      <c r="C6" s="2" t="s">
        <v>62</v>
      </c>
      <c r="D6" s="2" t="s">
        <v>63</v>
      </c>
      <c r="E6" s="3">
        <v>104</v>
      </c>
      <c r="F6" s="2" t="s">
        <v>30</v>
      </c>
      <c r="G6" s="2" t="s">
        <v>31</v>
      </c>
      <c r="H6" s="2">
        <v>1</v>
      </c>
      <c r="I6" s="2" t="s">
        <v>64</v>
      </c>
      <c r="J6" s="2" t="s">
        <v>65</v>
      </c>
      <c r="K6" s="2" t="s">
        <v>66</v>
      </c>
      <c r="L6" s="2" t="s">
        <v>35</v>
      </c>
      <c r="M6" s="3">
        <v>1828</v>
      </c>
      <c r="N6" s="3">
        <v>2134</v>
      </c>
      <c r="O6" s="2" t="s">
        <v>36</v>
      </c>
      <c r="P6" s="2" t="s">
        <v>67</v>
      </c>
      <c r="Q6" s="2" t="s">
        <v>38</v>
      </c>
      <c r="R6" s="2" t="s">
        <v>39</v>
      </c>
      <c r="S6" s="2" t="s">
        <v>40</v>
      </c>
      <c r="T6" s="2" t="s">
        <v>39</v>
      </c>
      <c r="U6" s="2" t="s">
        <v>41</v>
      </c>
      <c r="V6" s="2" t="s">
        <v>42</v>
      </c>
      <c r="W6" s="2"/>
      <c r="X6" s="2" t="s">
        <v>43</v>
      </c>
      <c r="Y6" s="2">
        <v>18</v>
      </c>
      <c r="Z6" s="5" t="s">
        <v>44</v>
      </c>
      <c r="AA6" s="45"/>
      <c r="AB6" s="45" t="s">
        <v>58</v>
      </c>
      <c r="AC6" s="46">
        <v>19</v>
      </c>
      <c r="AD6" s="45" t="s">
        <v>68</v>
      </c>
    </row>
    <row r="7" spans="1:30">
      <c r="A7" s="2" t="s">
        <v>69</v>
      </c>
      <c r="B7" s="2" t="s">
        <v>70</v>
      </c>
      <c r="C7" s="2" t="s">
        <v>71</v>
      </c>
      <c r="D7" s="2" t="s">
        <v>63</v>
      </c>
      <c r="E7" s="3">
        <v>104</v>
      </c>
      <c r="F7" s="2" t="s">
        <v>30</v>
      </c>
      <c r="G7" s="2" t="s">
        <v>31</v>
      </c>
      <c r="H7" s="2">
        <v>1</v>
      </c>
      <c r="I7" s="2" t="s">
        <v>32</v>
      </c>
      <c r="J7" s="2" t="s">
        <v>33</v>
      </c>
      <c r="K7" s="2" t="s">
        <v>34</v>
      </c>
      <c r="L7" s="2" t="s">
        <v>35</v>
      </c>
      <c r="M7" s="3">
        <v>914</v>
      </c>
      <c r="N7" s="3">
        <v>2134</v>
      </c>
      <c r="O7" s="2" t="s">
        <v>36</v>
      </c>
      <c r="P7" s="2" t="s">
        <v>72</v>
      </c>
      <c r="Q7" s="2" t="s">
        <v>38</v>
      </c>
      <c r="R7" s="2" t="s">
        <v>39</v>
      </c>
      <c r="S7" s="2" t="s">
        <v>40</v>
      </c>
      <c r="T7" s="2" t="s">
        <v>39</v>
      </c>
      <c r="U7" s="2" t="s">
        <v>41</v>
      </c>
      <c r="V7" s="2" t="s">
        <v>42</v>
      </c>
      <c r="W7" s="2" t="s">
        <v>72</v>
      </c>
      <c r="X7" s="2" t="s">
        <v>43</v>
      </c>
      <c r="Y7" s="2">
        <v>18</v>
      </c>
      <c r="Z7" s="5" t="s">
        <v>44</v>
      </c>
      <c r="AA7" s="45"/>
      <c r="AB7" s="45" t="s">
        <v>58</v>
      </c>
      <c r="AC7" s="46">
        <v>29</v>
      </c>
      <c r="AD7" s="45" t="s">
        <v>46</v>
      </c>
    </row>
    <row r="8" spans="1:30">
      <c r="A8" s="2" t="s">
        <v>73</v>
      </c>
      <c r="B8" s="2" t="s">
        <v>74</v>
      </c>
      <c r="C8" s="3">
        <v>108</v>
      </c>
      <c r="D8" s="2" t="s">
        <v>75</v>
      </c>
      <c r="E8" s="2" t="s">
        <v>76</v>
      </c>
      <c r="F8" s="2" t="s">
        <v>30</v>
      </c>
      <c r="G8" s="2" t="s">
        <v>31</v>
      </c>
      <c r="H8" s="2">
        <v>1</v>
      </c>
      <c r="I8" s="2" t="s">
        <v>32</v>
      </c>
      <c r="J8" s="2" t="s">
        <v>33</v>
      </c>
      <c r="K8" s="2" t="s">
        <v>34</v>
      </c>
      <c r="L8" s="2" t="s">
        <v>35</v>
      </c>
      <c r="M8" s="3">
        <v>914</v>
      </c>
      <c r="N8" s="3">
        <v>2134</v>
      </c>
      <c r="O8" s="2" t="s">
        <v>36</v>
      </c>
      <c r="P8" s="2" t="s">
        <v>37</v>
      </c>
      <c r="Q8" s="2" t="s">
        <v>38</v>
      </c>
      <c r="R8" s="2" t="s">
        <v>39</v>
      </c>
      <c r="S8" s="2" t="s">
        <v>40</v>
      </c>
      <c r="T8" s="2" t="s">
        <v>39</v>
      </c>
      <c r="U8" s="2" t="s">
        <v>41</v>
      </c>
      <c r="V8" s="2" t="s">
        <v>42</v>
      </c>
      <c r="W8" s="2"/>
      <c r="X8" s="2" t="s">
        <v>43</v>
      </c>
      <c r="Y8" s="2">
        <v>18</v>
      </c>
      <c r="Z8" s="5" t="s">
        <v>44</v>
      </c>
      <c r="AA8" s="45"/>
      <c r="AB8" s="45" t="s">
        <v>58</v>
      </c>
      <c r="AC8" s="46">
        <v>26</v>
      </c>
      <c r="AD8" s="45" t="s">
        <v>77</v>
      </c>
    </row>
    <row r="9" spans="1:30">
      <c r="A9" s="2" t="s">
        <v>78</v>
      </c>
      <c r="B9" s="2" t="s">
        <v>63</v>
      </c>
      <c r="C9" s="3">
        <v>104</v>
      </c>
      <c r="D9" s="2" t="s">
        <v>75</v>
      </c>
      <c r="E9" s="2" t="s">
        <v>76</v>
      </c>
      <c r="F9" s="2" t="s">
        <v>30</v>
      </c>
      <c r="G9" s="2" t="s">
        <v>31</v>
      </c>
      <c r="H9" s="2">
        <v>1</v>
      </c>
      <c r="I9" s="2" t="s">
        <v>32</v>
      </c>
      <c r="J9" s="2" t="s">
        <v>33</v>
      </c>
      <c r="K9" s="2" t="s">
        <v>34</v>
      </c>
      <c r="L9" s="2" t="s">
        <v>35</v>
      </c>
      <c r="M9" s="3">
        <v>914</v>
      </c>
      <c r="N9" s="3">
        <v>2134</v>
      </c>
      <c r="O9" s="2" t="s">
        <v>36</v>
      </c>
      <c r="P9" s="2" t="s">
        <v>37</v>
      </c>
      <c r="Q9" s="2" t="s">
        <v>38</v>
      </c>
      <c r="R9" s="2" t="s">
        <v>39</v>
      </c>
      <c r="S9" s="2" t="s">
        <v>40</v>
      </c>
      <c r="T9" s="2" t="s">
        <v>39</v>
      </c>
      <c r="U9" s="2" t="s">
        <v>41</v>
      </c>
      <c r="V9" s="2" t="s">
        <v>42</v>
      </c>
      <c r="W9" s="2"/>
      <c r="X9" s="2" t="s">
        <v>43</v>
      </c>
      <c r="Y9" s="2">
        <v>18</v>
      </c>
      <c r="Z9" s="5" t="s">
        <v>44</v>
      </c>
      <c r="AA9" s="45"/>
      <c r="AB9" s="45" t="s">
        <v>58</v>
      </c>
      <c r="AC9" s="46">
        <v>27</v>
      </c>
      <c r="AD9" s="45" t="s">
        <v>59</v>
      </c>
    </row>
    <row r="10" spans="1:30">
      <c r="A10" s="2" t="s">
        <v>79</v>
      </c>
      <c r="B10" s="2" t="s">
        <v>80</v>
      </c>
      <c r="C10" s="3">
        <v>105</v>
      </c>
      <c r="D10" s="2" t="s">
        <v>54</v>
      </c>
      <c r="E10" s="2" t="s">
        <v>55</v>
      </c>
      <c r="F10" s="2" t="s">
        <v>30</v>
      </c>
      <c r="G10" s="2" t="s">
        <v>31</v>
      </c>
      <c r="H10" s="2">
        <v>1</v>
      </c>
      <c r="I10" s="2" t="s">
        <v>64</v>
      </c>
      <c r="J10" s="2" t="s">
        <v>65</v>
      </c>
      <c r="K10" s="2" t="s">
        <v>81</v>
      </c>
      <c r="L10" s="2" t="s">
        <v>35</v>
      </c>
      <c r="M10" s="3">
        <v>813</v>
      </c>
      <c r="N10" s="3">
        <v>2134</v>
      </c>
      <c r="O10" s="2" t="s">
        <v>36</v>
      </c>
      <c r="P10" s="2" t="s">
        <v>82</v>
      </c>
      <c r="Q10" s="2" t="s">
        <v>38</v>
      </c>
      <c r="R10" s="2" t="s">
        <v>39</v>
      </c>
      <c r="S10" s="2" t="s">
        <v>40</v>
      </c>
      <c r="T10" s="2" t="s">
        <v>39</v>
      </c>
      <c r="U10" s="2" t="s">
        <v>41</v>
      </c>
      <c r="V10" s="2" t="s">
        <v>42</v>
      </c>
      <c r="W10" s="2"/>
      <c r="X10" s="2" t="s">
        <v>43</v>
      </c>
      <c r="Y10" s="2">
        <v>18</v>
      </c>
      <c r="Z10" s="5" t="s">
        <v>44</v>
      </c>
      <c r="AA10" s="45"/>
      <c r="AB10" s="45" t="s">
        <v>83</v>
      </c>
      <c r="AC10" s="46">
        <v>33</v>
      </c>
      <c r="AD10" s="45" t="s">
        <v>59</v>
      </c>
    </row>
    <row r="11" spans="1:30">
      <c r="A11" s="2" t="s">
        <v>84</v>
      </c>
      <c r="B11" s="2" t="s">
        <v>85</v>
      </c>
      <c r="C11" s="3">
        <v>106</v>
      </c>
      <c r="D11" s="2" t="s">
        <v>54</v>
      </c>
      <c r="E11" s="2" t="s">
        <v>55</v>
      </c>
      <c r="F11" s="2" t="s">
        <v>30</v>
      </c>
      <c r="G11" s="2" t="s">
        <v>31</v>
      </c>
      <c r="H11" s="2">
        <v>1</v>
      </c>
      <c r="I11" s="2" t="s">
        <v>64</v>
      </c>
      <c r="J11" s="2" t="s">
        <v>65</v>
      </c>
      <c r="K11" s="2" t="s">
        <v>81</v>
      </c>
      <c r="L11" s="2" t="s">
        <v>35</v>
      </c>
      <c r="M11" s="3">
        <v>813</v>
      </c>
      <c r="N11" s="3">
        <v>2134</v>
      </c>
      <c r="O11" s="2" t="s">
        <v>36</v>
      </c>
      <c r="P11" s="2" t="s">
        <v>82</v>
      </c>
      <c r="Q11" s="2" t="s">
        <v>38</v>
      </c>
      <c r="R11" s="2" t="s">
        <v>39</v>
      </c>
      <c r="S11" s="2" t="s">
        <v>40</v>
      </c>
      <c r="T11" s="2" t="s">
        <v>39</v>
      </c>
      <c r="U11" s="2" t="s">
        <v>41</v>
      </c>
      <c r="V11" s="2" t="s">
        <v>42</v>
      </c>
      <c r="W11" s="2"/>
      <c r="X11" s="2" t="s">
        <v>43</v>
      </c>
      <c r="Y11" s="2">
        <v>18</v>
      </c>
      <c r="Z11" s="5" t="s">
        <v>44</v>
      </c>
      <c r="AA11" s="45"/>
      <c r="AB11" s="45" t="s">
        <v>83</v>
      </c>
      <c r="AC11" s="46">
        <v>33</v>
      </c>
      <c r="AD11" s="45" t="s">
        <v>59</v>
      </c>
    </row>
    <row r="12" spans="1:30">
      <c r="A12" s="2" t="s">
        <v>86</v>
      </c>
      <c r="B12" s="2" t="s">
        <v>87</v>
      </c>
      <c r="C12" s="3">
        <v>107</v>
      </c>
      <c r="D12" s="2" t="s">
        <v>54</v>
      </c>
      <c r="E12" s="2" t="s">
        <v>55</v>
      </c>
      <c r="F12" s="2" t="s">
        <v>30</v>
      </c>
      <c r="G12" s="2" t="s">
        <v>31</v>
      </c>
      <c r="H12" s="2">
        <v>1</v>
      </c>
      <c r="I12" s="2" t="s">
        <v>64</v>
      </c>
      <c r="J12" s="2" t="s">
        <v>65</v>
      </c>
      <c r="K12" s="2" t="s">
        <v>34</v>
      </c>
      <c r="L12" s="2" t="s">
        <v>35</v>
      </c>
      <c r="M12" s="3">
        <v>914</v>
      </c>
      <c r="N12" s="3">
        <v>2134</v>
      </c>
      <c r="O12" s="2" t="s">
        <v>36</v>
      </c>
      <c r="P12" s="2" t="s">
        <v>82</v>
      </c>
      <c r="Q12" s="2" t="s">
        <v>38</v>
      </c>
      <c r="R12" s="2" t="s">
        <v>39</v>
      </c>
      <c r="S12" s="2" t="s">
        <v>40</v>
      </c>
      <c r="T12" s="2" t="s">
        <v>39</v>
      </c>
      <c r="U12" s="2" t="s">
        <v>41</v>
      </c>
      <c r="V12" s="2" t="s">
        <v>42</v>
      </c>
      <c r="W12" s="2"/>
      <c r="X12" s="2" t="s">
        <v>43</v>
      </c>
      <c r="Y12" s="2">
        <v>18</v>
      </c>
      <c r="Z12" s="5" t="s">
        <v>44</v>
      </c>
      <c r="AA12" s="45"/>
      <c r="AB12" s="45" t="s">
        <v>88</v>
      </c>
      <c r="AC12" s="46">
        <v>14</v>
      </c>
      <c r="AD12" s="45" t="s">
        <v>89</v>
      </c>
    </row>
    <row r="13" spans="1:30">
      <c r="A13" s="2" t="s">
        <v>90</v>
      </c>
      <c r="B13" s="2" t="s">
        <v>74</v>
      </c>
      <c r="C13" s="3">
        <v>108</v>
      </c>
      <c r="D13" s="2" t="s">
        <v>54</v>
      </c>
      <c r="E13" s="2" t="s">
        <v>55</v>
      </c>
      <c r="F13" s="2" t="s">
        <v>30</v>
      </c>
      <c r="G13" s="2" t="s">
        <v>31</v>
      </c>
      <c r="H13" s="2">
        <v>1</v>
      </c>
      <c r="I13" s="2" t="s">
        <v>64</v>
      </c>
      <c r="J13" s="2" t="s">
        <v>65</v>
      </c>
      <c r="K13" s="2" t="s">
        <v>66</v>
      </c>
      <c r="L13" s="2" t="s">
        <v>35</v>
      </c>
      <c r="M13" s="3">
        <v>1828</v>
      </c>
      <c r="N13" s="3">
        <v>2134</v>
      </c>
      <c r="O13" s="2" t="s">
        <v>36</v>
      </c>
      <c r="P13" s="2" t="s">
        <v>67</v>
      </c>
      <c r="Q13" s="2" t="s">
        <v>38</v>
      </c>
      <c r="R13" s="2" t="s">
        <v>39</v>
      </c>
      <c r="S13" s="2" t="s">
        <v>40</v>
      </c>
      <c r="T13" s="2" t="s">
        <v>39</v>
      </c>
      <c r="U13" s="2" t="s">
        <v>41</v>
      </c>
      <c r="V13" s="2" t="s">
        <v>42</v>
      </c>
      <c r="W13" s="2"/>
      <c r="X13" s="2" t="s">
        <v>43</v>
      </c>
      <c r="Y13" s="2">
        <v>18</v>
      </c>
      <c r="Z13" s="5" t="s">
        <v>44</v>
      </c>
      <c r="AA13" s="45"/>
      <c r="AB13" s="45" t="s">
        <v>58</v>
      </c>
      <c r="AC13" s="46">
        <v>18</v>
      </c>
      <c r="AD13" s="45" t="s">
        <v>68</v>
      </c>
    </row>
    <row r="14" spans="1:30">
      <c r="A14" s="2" t="s">
        <v>91</v>
      </c>
      <c r="B14" s="2" t="s">
        <v>54</v>
      </c>
      <c r="C14" s="2" t="s">
        <v>55</v>
      </c>
      <c r="D14" s="2" t="s">
        <v>92</v>
      </c>
      <c r="E14" s="3">
        <v>109</v>
      </c>
      <c r="F14" s="2" t="s">
        <v>30</v>
      </c>
      <c r="G14" s="2" t="s">
        <v>31</v>
      </c>
      <c r="H14" s="2">
        <v>1</v>
      </c>
      <c r="I14" s="2" t="s">
        <v>93</v>
      </c>
      <c r="J14" s="2" t="s">
        <v>94</v>
      </c>
      <c r="K14" s="2" t="s">
        <v>66</v>
      </c>
      <c r="L14" s="2" t="s">
        <v>35</v>
      </c>
      <c r="M14" s="3">
        <v>1828</v>
      </c>
      <c r="N14" s="3">
        <v>2134</v>
      </c>
      <c r="O14" s="2" t="s">
        <v>36</v>
      </c>
      <c r="P14" s="2" t="s">
        <v>67</v>
      </c>
      <c r="Q14" s="2" t="s">
        <v>38</v>
      </c>
      <c r="R14" s="2" t="s">
        <v>39</v>
      </c>
      <c r="S14" s="2" t="s">
        <v>40</v>
      </c>
      <c r="T14" s="2" t="s">
        <v>39</v>
      </c>
      <c r="U14" s="2" t="s">
        <v>41</v>
      </c>
      <c r="V14" s="2" t="s">
        <v>42</v>
      </c>
      <c r="W14" s="2"/>
      <c r="X14" s="2" t="s">
        <v>43</v>
      </c>
      <c r="Y14" s="2">
        <v>18</v>
      </c>
      <c r="Z14" s="5" t="s">
        <v>44</v>
      </c>
      <c r="AA14" s="45"/>
      <c r="AB14" s="45" t="s">
        <v>95</v>
      </c>
      <c r="AC14" s="46">
        <v>12</v>
      </c>
      <c r="AD14" s="45" t="s">
        <v>96</v>
      </c>
    </row>
    <row r="15" spans="1:30">
      <c r="A15" s="2" t="s">
        <v>97</v>
      </c>
      <c r="B15" s="2" t="s">
        <v>54</v>
      </c>
      <c r="C15" s="2" t="s">
        <v>98</v>
      </c>
      <c r="D15" s="2" t="s">
        <v>99</v>
      </c>
      <c r="E15" s="3">
        <v>112</v>
      </c>
      <c r="F15" s="2" t="s">
        <v>30</v>
      </c>
      <c r="G15" s="2" t="s">
        <v>31</v>
      </c>
      <c r="H15" s="2">
        <v>1</v>
      </c>
      <c r="I15" s="2" t="s">
        <v>32</v>
      </c>
      <c r="J15" s="2" t="s">
        <v>33</v>
      </c>
      <c r="K15" s="2" t="s">
        <v>34</v>
      </c>
      <c r="L15" s="2" t="s">
        <v>35</v>
      </c>
      <c r="M15" s="3">
        <v>914</v>
      </c>
      <c r="N15" s="3">
        <v>2134</v>
      </c>
      <c r="O15" s="2" t="s">
        <v>36</v>
      </c>
      <c r="P15" s="2" t="s">
        <v>82</v>
      </c>
      <c r="Q15" s="2" t="s">
        <v>38</v>
      </c>
      <c r="R15" s="2" t="s">
        <v>39</v>
      </c>
      <c r="S15" s="2" t="s">
        <v>40</v>
      </c>
      <c r="T15" s="2" t="s">
        <v>39</v>
      </c>
      <c r="U15" s="2" t="s">
        <v>41</v>
      </c>
      <c r="V15" s="2" t="s">
        <v>42</v>
      </c>
      <c r="W15" s="2"/>
      <c r="X15" s="2" t="s">
        <v>43</v>
      </c>
      <c r="Y15" s="2">
        <v>18</v>
      </c>
      <c r="Z15" s="5" t="s">
        <v>44</v>
      </c>
      <c r="AA15" s="45"/>
      <c r="AB15" s="45" t="s">
        <v>88</v>
      </c>
      <c r="AC15" s="46">
        <v>14</v>
      </c>
      <c r="AD15" s="45" t="s">
        <v>89</v>
      </c>
    </row>
    <row r="16" spans="1:30">
      <c r="A16" s="2" t="s">
        <v>100</v>
      </c>
      <c r="B16" s="2" t="s">
        <v>85</v>
      </c>
      <c r="C16" s="3">
        <v>113</v>
      </c>
      <c r="D16" s="2" t="s">
        <v>54</v>
      </c>
      <c r="E16" s="2" t="s">
        <v>98</v>
      </c>
      <c r="F16" s="2" t="s">
        <v>30</v>
      </c>
      <c r="G16" s="2" t="s">
        <v>31</v>
      </c>
      <c r="H16" s="2">
        <v>1</v>
      </c>
      <c r="I16" s="2" t="s">
        <v>32</v>
      </c>
      <c r="J16" s="2" t="s">
        <v>33</v>
      </c>
      <c r="K16" s="2" t="s">
        <v>81</v>
      </c>
      <c r="L16" s="2" t="s">
        <v>35</v>
      </c>
      <c r="M16" s="3">
        <v>813</v>
      </c>
      <c r="N16" s="3">
        <v>2134</v>
      </c>
      <c r="O16" s="2" t="s">
        <v>36</v>
      </c>
      <c r="P16" s="2" t="s">
        <v>82</v>
      </c>
      <c r="Q16" s="2" t="s">
        <v>38</v>
      </c>
      <c r="R16" s="2" t="s">
        <v>39</v>
      </c>
      <c r="S16" s="2" t="s">
        <v>40</v>
      </c>
      <c r="T16" s="2" t="s">
        <v>39</v>
      </c>
      <c r="U16" s="2" t="s">
        <v>41</v>
      </c>
      <c r="V16" s="2" t="s">
        <v>42</v>
      </c>
      <c r="W16" s="2"/>
      <c r="X16" s="2" t="s">
        <v>43</v>
      </c>
      <c r="Y16" s="2">
        <v>18</v>
      </c>
      <c r="Z16" s="5" t="s">
        <v>44</v>
      </c>
      <c r="AA16" s="45"/>
      <c r="AB16" s="45" t="s">
        <v>83</v>
      </c>
      <c r="AC16" s="46">
        <v>33</v>
      </c>
      <c r="AD16" s="45" t="s">
        <v>59</v>
      </c>
    </row>
    <row r="17" spans="1:30">
      <c r="A17" s="2" t="s">
        <v>101</v>
      </c>
      <c r="B17" s="2" t="s">
        <v>54</v>
      </c>
      <c r="C17" s="2" t="s">
        <v>98</v>
      </c>
      <c r="D17" s="2" t="s">
        <v>85</v>
      </c>
      <c r="E17" s="3">
        <v>114</v>
      </c>
      <c r="F17" s="2" t="s">
        <v>30</v>
      </c>
      <c r="G17" s="2" t="s">
        <v>31</v>
      </c>
      <c r="H17" s="2">
        <v>1</v>
      </c>
      <c r="I17" s="2" t="s">
        <v>32</v>
      </c>
      <c r="J17" s="2" t="s">
        <v>33</v>
      </c>
      <c r="K17" s="2" t="s">
        <v>81</v>
      </c>
      <c r="L17" s="2" t="s">
        <v>35</v>
      </c>
      <c r="M17" s="3">
        <v>813</v>
      </c>
      <c r="N17" s="3">
        <v>2134</v>
      </c>
      <c r="O17" s="2" t="s">
        <v>36</v>
      </c>
      <c r="P17" s="2" t="s">
        <v>82</v>
      </c>
      <c r="Q17" s="2" t="s">
        <v>38</v>
      </c>
      <c r="R17" s="2" t="s">
        <v>39</v>
      </c>
      <c r="S17" s="2" t="s">
        <v>40</v>
      </c>
      <c r="T17" s="2" t="s">
        <v>39</v>
      </c>
      <c r="U17" s="2" t="s">
        <v>41</v>
      </c>
      <c r="V17" s="2" t="s">
        <v>42</v>
      </c>
      <c r="W17" s="2"/>
      <c r="X17" s="2" t="s">
        <v>43</v>
      </c>
      <c r="Y17" s="2">
        <v>18</v>
      </c>
      <c r="Z17" s="5" t="s">
        <v>44</v>
      </c>
      <c r="AA17" s="45"/>
      <c r="AB17" s="45" t="s">
        <v>83</v>
      </c>
      <c r="AC17" s="46">
        <v>33</v>
      </c>
      <c r="AD17" s="45" t="s">
        <v>59</v>
      </c>
    </row>
    <row r="18" spans="1:30">
      <c r="A18" s="2" t="s">
        <v>102</v>
      </c>
      <c r="B18" s="2" t="s">
        <v>99</v>
      </c>
      <c r="C18" s="3">
        <v>115</v>
      </c>
      <c r="D18" s="2" t="s">
        <v>54</v>
      </c>
      <c r="E18" s="2" t="s">
        <v>98</v>
      </c>
      <c r="F18" s="2" t="s">
        <v>30</v>
      </c>
      <c r="G18" s="2" t="s">
        <v>31</v>
      </c>
      <c r="H18" s="2">
        <v>1</v>
      </c>
      <c r="I18" s="2" t="s">
        <v>32</v>
      </c>
      <c r="J18" s="2" t="s">
        <v>33</v>
      </c>
      <c r="K18" s="2" t="s">
        <v>34</v>
      </c>
      <c r="L18" s="2" t="s">
        <v>35</v>
      </c>
      <c r="M18" s="3">
        <v>914</v>
      </c>
      <c r="N18" s="3">
        <v>2134</v>
      </c>
      <c r="O18" s="2" t="s">
        <v>36</v>
      </c>
      <c r="P18" s="2" t="s">
        <v>82</v>
      </c>
      <c r="Q18" s="2" t="s">
        <v>38</v>
      </c>
      <c r="R18" s="2" t="s">
        <v>39</v>
      </c>
      <c r="S18" s="2" t="s">
        <v>40</v>
      </c>
      <c r="T18" s="2" t="s">
        <v>39</v>
      </c>
      <c r="U18" s="2" t="s">
        <v>41</v>
      </c>
      <c r="V18" s="2" t="s">
        <v>42</v>
      </c>
      <c r="W18" s="2"/>
      <c r="X18" s="2" t="s">
        <v>43</v>
      </c>
      <c r="Y18" s="2">
        <v>18</v>
      </c>
      <c r="Z18" s="5" t="s">
        <v>44</v>
      </c>
      <c r="AA18" s="45"/>
      <c r="AB18" s="45" t="s">
        <v>88</v>
      </c>
      <c r="AC18" s="46">
        <v>14</v>
      </c>
      <c r="AD18" s="45" t="s">
        <v>89</v>
      </c>
    </row>
    <row r="19" spans="1:30">
      <c r="A19" s="2" t="s">
        <v>103</v>
      </c>
      <c r="B19" s="2" t="s">
        <v>54</v>
      </c>
      <c r="C19" s="2" t="s">
        <v>55</v>
      </c>
      <c r="D19" s="2" t="s">
        <v>104</v>
      </c>
      <c r="E19" s="3">
        <v>116</v>
      </c>
      <c r="F19" s="2" t="s">
        <v>30</v>
      </c>
      <c r="G19" s="2" t="s">
        <v>31</v>
      </c>
      <c r="H19" s="2">
        <v>1</v>
      </c>
      <c r="I19" s="2" t="s">
        <v>64</v>
      </c>
      <c r="J19" s="2" t="s">
        <v>65</v>
      </c>
      <c r="K19" s="2" t="s">
        <v>34</v>
      </c>
      <c r="L19" s="2" t="s">
        <v>35</v>
      </c>
      <c r="M19" s="3">
        <v>914</v>
      </c>
      <c r="N19" s="3">
        <v>2134</v>
      </c>
      <c r="O19" s="2" t="s">
        <v>36</v>
      </c>
      <c r="P19" s="2" t="s">
        <v>37</v>
      </c>
      <c r="Q19" s="2" t="s">
        <v>38</v>
      </c>
      <c r="R19" s="2" t="s">
        <v>39</v>
      </c>
      <c r="S19" s="2" t="s">
        <v>40</v>
      </c>
      <c r="T19" s="2" t="s">
        <v>39</v>
      </c>
      <c r="U19" s="2" t="s">
        <v>41</v>
      </c>
      <c r="V19" s="2" t="s">
        <v>42</v>
      </c>
      <c r="W19" s="2"/>
      <c r="X19" s="2" t="s">
        <v>43</v>
      </c>
      <c r="Y19" s="2">
        <v>18</v>
      </c>
      <c r="Z19" s="5" t="s">
        <v>44</v>
      </c>
      <c r="AA19" s="45"/>
      <c r="AB19" s="45" t="s">
        <v>58</v>
      </c>
      <c r="AC19" s="46">
        <v>24</v>
      </c>
      <c r="AD19" s="45" t="s">
        <v>59</v>
      </c>
    </row>
    <row r="20" spans="1:30">
      <c r="A20" s="2" t="s">
        <v>105</v>
      </c>
      <c r="B20" s="2" t="s">
        <v>54</v>
      </c>
      <c r="C20" s="2" t="s">
        <v>55</v>
      </c>
      <c r="D20" s="2" t="s">
        <v>104</v>
      </c>
      <c r="E20" s="3">
        <v>116</v>
      </c>
      <c r="F20" s="2" t="s">
        <v>30</v>
      </c>
      <c r="G20" s="2" t="s">
        <v>31</v>
      </c>
      <c r="H20" s="2">
        <v>1</v>
      </c>
      <c r="I20" s="2" t="s">
        <v>64</v>
      </c>
      <c r="J20" s="2" t="s">
        <v>65</v>
      </c>
      <c r="K20" s="2" t="s">
        <v>34</v>
      </c>
      <c r="L20" s="2" t="s">
        <v>35</v>
      </c>
      <c r="M20" s="3">
        <v>914</v>
      </c>
      <c r="N20" s="3">
        <v>2134</v>
      </c>
      <c r="O20" s="2" t="s">
        <v>36</v>
      </c>
      <c r="P20" s="2" t="s">
        <v>37</v>
      </c>
      <c r="Q20" s="2" t="s">
        <v>38</v>
      </c>
      <c r="R20" s="2" t="s">
        <v>39</v>
      </c>
      <c r="S20" s="2" t="s">
        <v>40</v>
      </c>
      <c r="T20" s="2" t="s">
        <v>39</v>
      </c>
      <c r="U20" s="2" t="s">
        <v>41</v>
      </c>
      <c r="V20" s="2" t="s">
        <v>42</v>
      </c>
      <c r="W20" s="2"/>
      <c r="X20" s="2" t="s">
        <v>43</v>
      </c>
      <c r="Y20" s="2">
        <v>18</v>
      </c>
      <c r="Z20" s="5" t="s">
        <v>44</v>
      </c>
      <c r="AA20" s="45"/>
      <c r="AB20" s="45" t="s">
        <v>58</v>
      </c>
      <c r="AC20" s="46">
        <v>24</v>
      </c>
      <c r="AD20" s="45" t="s">
        <v>59</v>
      </c>
    </row>
    <row r="21" spans="1:30">
      <c r="A21" s="2" t="s">
        <v>106</v>
      </c>
      <c r="B21" s="45"/>
      <c r="C21" s="45"/>
      <c r="D21" s="2" t="s">
        <v>104</v>
      </c>
      <c r="E21" s="3">
        <v>116</v>
      </c>
      <c r="F21" s="2" t="s">
        <v>30</v>
      </c>
      <c r="G21" s="2" t="s">
        <v>31</v>
      </c>
      <c r="H21" s="2">
        <v>1</v>
      </c>
      <c r="I21" s="2" t="s">
        <v>64</v>
      </c>
      <c r="J21" s="2" t="s">
        <v>65</v>
      </c>
      <c r="K21" s="2" t="s">
        <v>81</v>
      </c>
      <c r="L21" s="2" t="s">
        <v>35</v>
      </c>
      <c r="M21" s="3">
        <v>813</v>
      </c>
      <c r="N21" s="3">
        <v>2134</v>
      </c>
      <c r="O21" s="2" t="s">
        <v>36</v>
      </c>
      <c r="P21" s="2" t="s">
        <v>82</v>
      </c>
      <c r="Q21" s="2" t="s">
        <v>38</v>
      </c>
      <c r="R21" s="2" t="s">
        <v>39</v>
      </c>
      <c r="S21" s="2" t="s">
        <v>40</v>
      </c>
      <c r="T21" s="2" t="s">
        <v>39</v>
      </c>
      <c r="U21" s="2" t="s">
        <v>41</v>
      </c>
      <c r="V21" s="2" t="s">
        <v>42</v>
      </c>
      <c r="W21" s="2"/>
      <c r="X21" s="2" t="s">
        <v>43</v>
      </c>
      <c r="Y21" s="2">
        <v>18</v>
      </c>
      <c r="Z21" s="5" t="s">
        <v>44</v>
      </c>
      <c r="AA21" s="45"/>
      <c r="AB21" s="45" t="s">
        <v>88</v>
      </c>
      <c r="AC21" s="46">
        <v>36</v>
      </c>
      <c r="AD21" s="45" t="s">
        <v>77</v>
      </c>
    </row>
    <row r="22" spans="1:30">
      <c r="A22" s="2" t="s">
        <v>107</v>
      </c>
      <c r="B22" s="2" t="s">
        <v>104</v>
      </c>
      <c r="C22" s="3">
        <v>116</v>
      </c>
      <c r="D22" s="2" t="s">
        <v>61</v>
      </c>
      <c r="E22" s="2" t="s">
        <v>108</v>
      </c>
      <c r="F22" s="2" t="s">
        <v>30</v>
      </c>
      <c r="G22" s="2" t="s">
        <v>31</v>
      </c>
      <c r="H22" s="2">
        <v>1</v>
      </c>
      <c r="I22" s="2" t="s">
        <v>32</v>
      </c>
      <c r="J22" s="2" t="s">
        <v>33</v>
      </c>
      <c r="K22" s="2" t="s">
        <v>34</v>
      </c>
      <c r="L22" s="2" t="s">
        <v>35</v>
      </c>
      <c r="M22" s="3">
        <v>914</v>
      </c>
      <c r="N22" s="3">
        <v>2134</v>
      </c>
      <c r="O22" s="2" t="s">
        <v>36</v>
      </c>
      <c r="P22" s="2" t="s">
        <v>37</v>
      </c>
      <c r="Q22" s="2" t="s">
        <v>38</v>
      </c>
      <c r="R22" s="2" t="s">
        <v>39</v>
      </c>
      <c r="S22" s="2" t="s">
        <v>40</v>
      </c>
      <c r="T22" s="2" t="s">
        <v>39</v>
      </c>
      <c r="U22" s="2" t="s">
        <v>41</v>
      </c>
      <c r="V22" s="2" t="s">
        <v>42</v>
      </c>
      <c r="W22" s="2"/>
      <c r="X22" s="2" t="s">
        <v>43</v>
      </c>
      <c r="Y22" s="2">
        <v>18</v>
      </c>
      <c r="Z22" s="5" t="s">
        <v>44</v>
      </c>
      <c r="AA22" s="45"/>
      <c r="AB22" s="45" t="s">
        <v>58</v>
      </c>
      <c r="AC22" s="46">
        <v>28</v>
      </c>
      <c r="AD22" s="45" t="s">
        <v>77</v>
      </c>
    </row>
    <row r="23" spans="1:30">
      <c r="A23" s="2" t="s">
        <v>109</v>
      </c>
      <c r="B23" s="2" t="s">
        <v>104</v>
      </c>
      <c r="C23" s="3">
        <v>116</v>
      </c>
      <c r="D23" s="2" t="s">
        <v>70</v>
      </c>
      <c r="E23" s="2" t="s">
        <v>110</v>
      </c>
      <c r="F23" s="2" t="s">
        <v>30</v>
      </c>
      <c r="G23" s="2" t="s">
        <v>31</v>
      </c>
      <c r="H23" s="2">
        <v>1</v>
      </c>
      <c r="I23" s="2" t="s">
        <v>32</v>
      </c>
      <c r="J23" s="2" t="s">
        <v>33</v>
      </c>
      <c r="K23" s="2" t="s">
        <v>34</v>
      </c>
      <c r="L23" s="2" t="s">
        <v>35</v>
      </c>
      <c r="M23" s="3">
        <v>914</v>
      </c>
      <c r="N23" s="3">
        <v>2134</v>
      </c>
      <c r="O23" s="2" t="s">
        <v>36</v>
      </c>
      <c r="P23" s="2" t="s">
        <v>37</v>
      </c>
      <c r="Q23" s="2" t="s">
        <v>38</v>
      </c>
      <c r="R23" s="2" t="s">
        <v>39</v>
      </c>
      <c r="S23" s="2" t="s">
        <v>40</v>
      </c>
      <c r="T23" s="2" t="s">
        <v>39</v>
      </c>
      <c r="U23" s="2" t="s">
        <v>41</v>
      </c>
      <c r="V23" s="2" t="s">
        <v>42</v>
      </c>
      <c r="W23" s="2"/>
      <c r="X23" s="2" t="s">
        <v>43</v>
      </c>
      <c r="Y23" s="2">
        <v>18</v>
      </c>
      <c r="Z23" s="5" t="s">
        <v>44</v>
      </c>
      <c r="AA23" s="45"/>
      <c r="AB23" s="45" t="s">
        <v>58</v>
      </c>
      <c r="AC23" s="46">
        <v>28</v>
      </c>
      <c r="AD23" s="45" t="s">
        <v>77</v>
      </c>
    </row>
    <row r="24" spans="1:30">
      <c r="A24" s="2" t="s">
        <v>111</v>
      </c>
      <c r="B24" s="2" t="s">
        <v>54</v>
      </c>
      <c r="C24" s="2" t="s">
        <v>55</v>
      </c>
      <c r="D24" s="2" t="s">
        <v>70</v>
      </c>
      <c r="E24" s="2" t="s">
        <v>112</v>
      </c>
      <c r="F24" s="2" t="s">
        <v>30</v>
      </c>
      <c r="G24" s="2" t="s">
        <v>31</v>
      </c>
      <c r="H24" s="2">
        <v>1</v>
      </c>
      <c r="I24" s="2" t="s">
        <v>64</v>
      </c>
      <c r="J24" s="2" t="s">
        <v>65</v>
      </c>
      <c r="K24" s="2" t="s">
        <v>34</v>
      </c>
      <c r="L24" s="2" t="s">
        <v>35</v>
      </c>
      <c r="M24" s="3">
        <v>914</v>
      </c>
      <c r="N24" s="3">
        <v>2134</v>
      </c>
      <c r="O24" s="2" t="s">
        <v>36</v>
      </c>
      <c r="P24" s="2" t="s">
        <v>37</v>
      </c>
      <c r="Q24" s="2" t="s">
        <v>38</v>
      </c>
      <c r="R24" s="2" t="s">
        <v>39</v>
      </c>
      <c r="S24" s="2" t="s">
        <v>40</v>
      </c>
      <c r="T24" s="2" t="s">
        <v>39</v>
      </c>
      <c r="U24" s="2" t="s">
        <v>41</v>
      </c>
      <c r="V24" s="2" t="s">
        <v>42</v>
      </c>
      <c r="W24" s="2"/>
      <c r="X24" s="2" t="s">
        <v>43</v>
      </c>
      <c r="Y24" s="2">
        <v>18</v>
      </c>
      <c r="Z24" s="5" t="s">
        <v>44</v>
      </c>
      <c r="AA24" s="45"/>
      <c r="AB24" s="45" t="s">
        <v>58</v>
      </c>
      <c r="AC24" s="46">
        <v>23</v>
      </c>
      <c r="AD24" s="45" t="s">
        <v>59</v>
      </c>
    </row>
    <row r="25" spans="1:30">
      <c r="A25" s="2" t="s">
        <v>113</v>
      </c>
      <c r="B25" s="2" t="s">
        <v>54</v>
      </c>
      <c r="C25" s="2" t="s">
        <v>55</v>
      </c>
      <c r="D25" s="2" t="s">
        <v>114</v>
      </c>
      <c r="E25" s="3">
        <v>117</v>
      </c>
      <c r="F25" s="2" t="s">
        <v>30</v>
      </c>
      <c r="G25" s="2" t="s">
        <v>31</v>
      </c>
      <c r="H25" s="2">
        <v>1</v>
      </c>
      <c r="I25" s="2" t="s">
        <v>64</v>
      </c>
      <c r="J25" s="2" t="s">
        <v>65</v>
      </c>
      <c r="K25" s="2" t="s">
        <v>34</v>
      </c>
      <c r="L25" s="2" t="s">
        <v>35</v>
      </c>
      <c r="M25" s="3">
        <v>914</v>
      </c>
      <c r="N25" s="3">
        <v>2134</v>
      </c>
      <c r="O25" s="2" t="s">
        <v>36</v>
      </c>
      <c r="P25" s="2" t="s">
        <v>37</v>
      </c>
      <c r="Q25" s="2" t="s">
        <v>38</v>
      </c>
      <c r="R25" s="2" t="s">
        <v>39</v>
      </c>
      <c r="S25" s="2" t="s">
        <v>40</v>
      </c>
      <c r="T25" s="2" t="s">
        <v>39</v>
      </c>
      <c r="U25" s="2" t="s">
        <v>41</v>
      </c>
      <c r="V25" s="2" t="s">
        <v>42</v>
      </c>
      <c r="W25" s="2"/>
      <c r="X25" s="2" t="s">
        <v>43</v>
      </c>
      <c r="Y25" s="2">
        <v>18</v>
      </c>
      <c r="Z25" s="5" t="s">
        <v>44</v>
      </c>
      <c r="AA25" s="45"/>
      <c r="AB25" s="45" t="s">
        <v>58</v>
      </c>
      <c r="AC25" s="46">
        <v>24</v>
      </c>
      <c r="AD25" s="45" t="s">
        <v>59</v>
      </c>
    </row>
    <row r="26" spans="1:30">
      <c r="A26" s="2" t="s">
        <v>115</v>
      </c>
      <c r="B26" s="2" t="s">
        <v>54</v>
      </c>
      <c r="C26" s="2" t="s">
        <v>55</v>
      </c>
      <c r="D26" s="2" t="s">
        <v>116</v>
      </c>
      <c r="E26" s="3">
        <v>118</v>
      </c>
      <c r="F26" s="2" t="s">
        <v>30</v>
      </c>
      <c r="G26" s="2" t="s">
        <v>31</v>
      </c>
      <c r="H26" s="2">
        <v>1</v>
      </c>
      <c r="I26" s="2" t="s">
        <v>64</v>
      </c>
      <c r="J26" s="2" t="s">
        <v>65</v>
      </c>
      <c r="K26" s="2" t="s">
        <v>34</v>
      </c>
      <c r="L26" s="2" t="s">
        <v>35</v>
      </c>
      <c r="M26" s="3">
        <v>914</v>
      </c>
      <c r="N26" s="3">
        <v>2134</v>
      </c>
      <c r="O26" s="2" t="s">
        <v>36</v>
      </c>
      <c r="P26" s="2" t="s">
        <v>82</v>
      </c>
      <c r="Q26" s="2" t="s">
        <v>38</v>
      </c>
      <c r="R26" s="2" t="s">
        <v>39</v>
      </c>
      <c r="S26" s="2" t="s">
        <v>40</v>
      </c>
      <c r="T26" s="2" t="s">
        <v>39</v>
      </c>
      <c r="U26" s="2" t="s">
        <v>41</v>
      </c>
      <c r="V26" s="2" t="s">
        <v>42</v>
      </c>
      <c r="W26" s="2"/>
      <c r="X26" s="2" t="s">
        <v>43</v>
      </c>
      <c r="Y26" s="2">
        <v>18</v>
      </c>
      <c r="Z26" s="5" t="s">
        <v>44</v>
      </c>
      <c r="AA26" s="45"/>
      <c r="AB26" s="45" t="s">
        <v>88</v>
      </c>
      <c r="AC26" s="46">
        <v>13</v>
      </c>
      <c r="AD26" s="45" t="s">
        <v>89</v>
      </c>
    </row>
    <row r="27" spans="1:30">
      <c r="A27" s="2" t="s">
        <v>117</v>
      </c>
      <c r="B27" s="2" t="s">
        <v>54</v>
      </c>
      <c r="C27" s="2" t="s">
        <v>55</v>
      </c>
      <c r="D27" s="2" t="s">
        <v>118</v>
      </c>
      <c r="E27" s="3">
        <v>119</v>
      </c>
      <c r="F27" s="2" t="s">
        <v>30</v>
      </c>
      <c r="G27" s="2" t="s">
        <v>31</v>
      </c>
      <c r="H27" s="2">
        <v>1</v>
      </c>
      <c r="I27" s="2" t="s">
        <v>32</v>
      </c>
      <c r="J27" s="2" t="s">
        <v>33</v>
      </c>
      <c r="K27" s="2" t="s">
        <v>34</v>
      </c>
      <c r="L27" s="2" t="s">
        <v>35</v>
      </c>
      <c r="M27" s="3">
        <v>914</v>
      </c>
      <c r="N27" s="3">
        <v>2134</v>
      </c>
      <c r="O27" s="2" t="s">
        <v>36</v>
      </c>
      <c r="P27" s="2" t="s">
        <v>37</v>
      </c>
      <c r="Q27" s="2" t="s">
        <v>38</v>
      </c>
      <c r="R27" s="2" t="s">
        <v>39</v>
      </c>
      <c r="S27" s="2" t="s">
        <v>40</v>
      </c>
      <c r="T27" s="2" t="s">
        <v>39</v>
      </c>
      <c r="U27" s="2" t="s">
        <v>41</v>
      </c>
      <c r="V27" s="2" t="s">
        <v>42</v>
      </c>
      <c r="W27" s="2"/>
      <c r="X27" s="2" t="s">
        <v>43</v>
      </c>
      <c r="Y27" s="2">
        <v>18</v>
      </c>
      <c r="Z27" s="5" t="s">
        <v>44</v>
      </c>
      <c r="AA27" s="45"/>
      <c r="AB27" s="45" t="s">
        <v>58</v>
      </c>
      <c r="AC27" s="46">
        <v>25</v>
      </c>
      <c r="AD27" s="45" t="s">
        <v>46</v>
      </c>
    </row>
    <row r="28" spans="1:30">
      <c r="A28" s="2" t="s">
        <v>119</v>
      </c>
      <c r="B28" s="2" t="s">
        <v>85</v>
      </c>
      <c r="C28" s="2" t="s">
        <v>120</v>
      </c>
      <c r="D28" s="2" t="s">
        <v>118</v>
      </c>
      <c r="E28" s="3">
        <v>119</v>
      </c>
      <c r="F28" s="2" t="s">
        <v>30</v>
      </c>
      <c r="G28" s="2" t="s">
        <v>31</v>
      </c>
      <c r="H28" s="2">
        <v>1</v>
      </c>
      <c r="I28" s="2" t="s">
        <v>121</v>
      </c>
      <c r="J28" s="2" t="s">
        <v>122</v>
      </c>
      <c r="K28" s="2" t="s">
        <v>34</v>
      </c>
      <c r="L28" s="2" t="s">
        <v>35</v>
      </c>
      <c r="M28" s="3">
        <v>914</v>
      </c>
      <c r="N28" s="3">
        <v>2134</v>
      </c>
      <c r="O28" s="2" t="s">
        <v>36</v>
      </c>
      <c r="P28" s="2" t="s">
        <v>82</v>
      </c>
      <c r="Q28" s="2" t="s">
        <v>38</v>
      </c>
      <c r="R28" s="2" t="s">
        <v>39</v>
      </c>
      <c r="S28" s="2" t="s">
        <v>40</v>
      </c>
      <c r="T28" s="2" t="s">
        <v>39</v>
      </c>
      <c r="U28" s="2" t="s">
        <v>41</v>
      </c>
      <c r="V28" s="2" t="s">
        <v>42</v>
      </c>
      <c r="W28" s="2"/>
      <c r="X28" s="2" t="s">
        <v>43</v>
      </c>
      <c r="Y28" s="2">
        <v>18</v>
      </c>
      <c r="Z28" s="5" t="s">
        <v>44</v>
      </c>
      <c r="AA28" s="45"/>
      <c r="AB28" s="45" t="s">
        <v>83</v>
      </c>
      <c r="AC28" s="46">
        <v>34</v>
      </c>
      <c r="AD28" s="45" t="s">
        <v>77</v>
      </c>
    </row>
    <row r="29" spans="1:30">
      <c r="A29" s="2" t="s">
        <v>123</v>
      </c>
      <c r="B29" s="2" t="s">
        <v>118</v>
      </c>
      <c r="C29" s="3">
        <v>120</v>
      </c>
      <c r="D29" s="2" t="s">
        <v>54</v>
      </c>
      <c r="E29" s="2" t="s">
        <v>55</v>
      </c>
      <c r="F29" s="2" t="s">
        <v>30</v>
      </c>
      <c r="G29" s="2" t="s">
        <v>31</v>
      </c>
      <c r="H29" s="2">
        <v>1</v>
      </c>
      <c r="I29" s="2" t="s">
        <v>32</v>
      </c>
      <c r="J29" s="2" t="s">
        <v>33</v>
      </c>
      <c r="K29" s="2" t="s">
        <v>34</v>
      </c>
      <c r="L29" s="2" t="s">
        <v>35</v>
      </c>
      <c r="M29" s="3">
        <v>914</v>
      </c>
      <c r="N29" s="3">
        <v>2134</v>
      </c>
      <c r="O29" s="2" t="s">
        <v>36</v>
      </c>
      <c r="P29" s="2" t="s">
        <v>37</v>
      </c>
      <c r="Q29" s="2" t="s">
        <v>38</v>
      </c>
      <c r="R29" s="2" t="s">
        <v>39</v>
      </c>
      <c r="S29" s="2" t="s">
        <v>40</v>
      </c>
      <c r="T29" s="2" t="s">
        <v>39</v>
      </c>
      <c r="U29" s="2" t="s">
        <v>41</v>
      </c>
      <c r="V29" s="2" t="s">
        <v>42</v>
      </c>
      <c r="W29" s="2"/>
      <c r="X29" s="2" t="s">
        <v>43</v>
      </c>
      <c r="Y29" s="2">
        <v>18</v>
      </c>
      <c r="Z29" s="5" t="s">
        <v>44</v>
      </c>
      <c r="AA29" s="45"/>
      <c r="AB29" s="45" t="s">
        <v>58</v>
      </c>
      <c r="AC29" s="46">
        <v>25</v>
      </c>
      <c r="AD29" s="45" t="s">
        <v>46</v>
      </c>
    </row>
    <row r="30" spans="1:30">
      <c r="A30" s="2" t="s">
        <v>124</v>
      </c>
      <c r="B30" s="2" t="s">
        <v>85</v>
      </c>
      <c r="C30" s="2" t="s">
        <v>125</v>
      </c>
      <c r="D30" s="2" t="s">
        <v>118</v>
      </c>
      <c r="E30" s="3">
        <v>120</v>
      </c>
      <c r="F30" s="2" t="s">
        <v>30</v>
      </c>
      <c r="G30" s="2" t="s">
        <v>31</v>
      </c>
      <c r="H30" s="2">
        <v>1</v>
      </c>
      <c r="I30" s="2" t="s">
        <v>121</v>
      </c>
      <c r="J30" s="2" t="s">
        <v>122</v>
      </c>
      <c r="K30" s="2" t="s">
        <v>34</v>
      </c>
      <c r="L30" s="2" t="s">
        <v>35</v>
      </c>
      <c r="M30" s="3">
        <v>914</v>
      </c>
      <c r="N30" s="3">
        <v>2134</v>
      </c>
      <c r="O30" s="2" t="s">
        <v>36</v>
      </c>
      <c r="P30" s="2" t="s">
        <v>82</v>
      </c>
      <c r="Q30" s="2" t="s">
        <v>38</v>
      </c>
      <c r="R30" s="2" t="s">
        <v>39</v>
      </c>
      <c r="S30" s="2" t="s">
        <v>40</v>
      </c>
      <c r="T30" s="2" t="s">
        <v>39</v>
      </c>
      <c r="U30" s="2" t="s">
        <v>41</v>
      </c>
      <c r="V30" s="2" t="s">
        <v>42</v>
      </c>
      <c r="W30" s="2"/>
      <c r="X30" s="2" t="s">
        <v>43</v>
      </c>
      <c r="Y30" s="2">
        <v>18</v>
      </c>
      <c r="Z30" s="5" t="s">
        <v>44</v>
      </c>
      <c r="AA30" s="45"/>
      <c r="AB30" s="45" t="s">
        <v>83</v>
      </c>
      <c r="AC30" s="46">
        <v>34</v>
      </c>
      <c r="AD30" s="45" t="s">
        <v>77</v>
      </c>
    </row>
    <row r="31" spans="1:30">
      <c r="A31" s="2" t="s">
        <v>126</v>
      </c>
      <c r="B31" s="2" t="s">
        <v>54</v>
      </c>
      <c r="C31" s="2" t="s">
        <v>55</v>
      </c>
      <c r="D31" s="2" t="s">
        <v>118</v>
      </c>
      <c r="E31" s="3">
        <v>121</v>
      </c>
      <c r="F31" s="2" t="s">
        <v>30</v>
      </c>
      <c r="G31" s="2" t="s">
        <v>31</v>
      </c>
      <c r="H31" s="2">
        <v>1</v>
      </c>
      <c r="I31" s="2" t="s">
        <v>32</v>
      </c>
      <c r="J31" s="2" t="s">
        <v>33</v>
      </c>
      <c r="K31" s="2" t="s">
        <v>34</v>
      </c>
      <c r="L31" s="2" t="s">
        <v>35</v>
      </c>
      <c r="M31" s="3">
        <v>914</v>
      </c>
      <c r="N31" s="3">
        <v>2134</v>
      </c>
      <c r="O31" s="2" t="s">
        <v>36</v>
      </c>
      <c r="P31" s="2" t="s">
        <v>37</v>
      </c>
      <c r="Q31" s="2" t="s">
        <v>38</v>
      </c>
      <c r="R31" s="2" t="s">
        <v>39</v>
      </c>
      <c r="S31" s="2" t="s">
        <v>40</v>
      </c>
      <c r="T31" s="2" t="s">
        <v>39</v>
      </c>
      <c r="U31" s="2" t="s">
        <v>41</v>
      </c>
      <c r="V31" s="2" t="s">
        <v>42</v>
      </c>
      <c r="W31" s="2"/>
      <c r="X31" s="2" t="s">
        <v>43</v>
      </c>
      <c r="Y31" s="2">
        <v>18</v>
      </c>
      <c r="Z31" s="5" t="s">
        <v>44</v>
      </c>
      <c r="AA31" s="45"/>
      <c r="AB31" s="45" t="s">
        <v>58</v>
      </c>
      <c r="AC31" s="46">
        <v>25</v>
      </c>
      <c r="AD31" s="45" t="s">
        <v>46</v>
      </c>
    </row>
    <row r="32" spans="1:30">
      <c r="A32" s="2" t="s">
        <v>127</v>
      </c>
      <c r="B32" s="2" t="s">
        <v>118</v>
      </c>
      <c r="C32" s="3">
        <v>121</v>
      </c>
      <c r="D32" s="2" t="s">
        <v>85</v>
      </c>
      <c r="E32" s="2" t="s">
        <v>128</v>
      </c>
      <c r="F32" s="2" t="s">
        <v>30</v>
      </c>
      <c r="G32" s="2" t="s">
        <v>31</v>
      </c>
      <c r="H32" s="2">
        <v>1</v>
      </c>
      <c r="I32" s="2" t="s">
        <v>121</v>
      </c>
      <c r="J32" s="2" t="s">
        <v>122</v>
      </c>
      <c r="K32" s="2" t="s">
        <v>34</v>
      </c>
      <c r="L32" s="2" t="s">
        <v>35</v>
      </c>
      <c r="M32" s="3">
        <v>914</v>
      </c>
      <c r="N32" s="3">
        <v>2134</v>
      </c>
      <c r="O32" s="2" t="s">
        <v>36</v>
      </c>
      <c r="P32" s="2" t="s">
        <v>82</v>
      </c>
      <c r="Q32" s="2" t="s">
        <v>38</v>
      </c>
      <c r="R32" s="2" t="s">
        <v>39</v>
      </c>
      <c r="S32" s="2" t="s">
        <v>40</v>
      </c>
      <c r="T32" s="2" t="s">
        <v>39</v>
      </c>
      <c r="U32" s="2" t="s">
        <v>41</v>
      </c>
      <c r="V32" s="2" t="s">
        <v>42</v>
      </c>
      <c r="W32" s="2"/>
      <c r="X32" s="2" t="s">
        <v>43</v>
      </c>
      <c r="Y32" s="2">
        <v>18</v>
      </c>
      <c r="Z32" s="5" t="s">
        <v>44</v>
      </c>
      <c r="AA32" s="45"/>
      <c r="AB32" s="45" t="s">
        <v>83</v>
      </c>
      <c r="AC32" s="46">
        <v>34</v>
      </c>
      <c r="AD32" s="45" t="s">
        <v>77</v>
      </c>
    </row>
    <row r="33" spans="1:30">
      <c r="A33" s="2" t="s">
        <v>129</v>
      </c>
      <c r="B33" s="2" t="s">
        <v>54</v>
      </c>
      <c r="C33" s="2" t="s">
        <v>55</v>
      </c>
      <c r="D33" s="2" t="s">
        <v>118</v>
      </c>
      <c r="E33" s="3">
        <v>122</v>
      </c>
      <c r="F33" s="2" t="s">
        <v>30</v>
      </c>
      <c r="G33" s="2" t="s">
        <v>31</v>
      </c>
      <c r="H33" s="2">
        <v>1</v>
      </c>
      <c r="I33" s="2" t="s">
        <v>64</v>
      </c>
      <c r="J33" s="2" t="s">
        <v>65</v>
      </c>
      <c r="K33" s="2" t="s">
        <v>34</v>
      </c>
      <c r="L33" s="2" t="s">
        <v>35</v>
      </c>
      <c r="M33" s="3">
        <v>914</v>
      </c>
      <c r="N33" s="3">
        <v>2134</v>
      </c>
      <c r="O33" s="2" t="s">
        <v>36</v>
      </c>
      <c r="P33" s="2" t="s">
        <v>37</v>
      </c>
      <c r="Q33" s="2" t="s">
        <v>38</v>
      </c>
      <c r="R33" s="2" t="s">
        <v>39</v>
      </c>
      <c r="S33" s="2" t="s">
        <v>40</v>
      </c>
      <c r="T33" s="2" t="s">
        <v>39</v>
      </c>
      <c r="U33" s="2" t="s">
        <v>41</v>
      </c>
      <c r="V33" s="2" t="s">
        <v>42</v>
      </c>
      <c r="W33" s="2"/>
      <c r="X33" s="2" t="s">
        <v>43</v>
      </c>
      <c r="Y33" s="2">
        <v>18</v>
      </c>
      <c r="Z33" s="5" t="s">
        <v>44</v>
      </c>
      <c r="AA33" s="45"/>
      <c r="AB33" s="45" t="s">
        <v>58</v>
      </c>
      <c r="AC33" s="46">
        <v>25</v>
      </c>
      <c r="AD33" s="45" t="s">
        <v>46</v>
      </c>
    </row>
    <row r="34" spans="1:30">
      <c r="A34" s="2" t="s">
        <v>130</v>
      </c>
      <c r="B34" s="2" t="s">
        <v>118</v>
      </c>
      <c r="C34" s="3">
        <v>122</v>
      </c>
      <c r="D34" s="2" t="s">
        <v>85</v>
      </c>
      <c r="E34" s="2" t="s">
        <v>131</v>
      </c>
      <c r="F34" s="2" t="s">
        <v>30</v>
      </c>
      <c r="G34" s="2" t="s">
        <v>31</v>
      </c>
      <c r="H34" s="2">
        <v>1</v>
      </c>
      <c r="I34" s="2" t="s">
        <v>121</v>
      </c>
      <c r="J34" s="2" t="s">
        <v>122</v>
      </c>
      <c r="K34" s="2" t="s">
        <v>34</v>
      </c>
      <c r="L34" s="2" t="s">
        <v>35</v>
      </c>
      <c r="M34" s="3">
        <v>914</v>
      </c>
      <c r="N34" s="3">
        <v>2134</v>
      </c>
      <c r="O34" s="2" t="s">
        <v>36</v>
      </c>
      <c r="P34" s="2" t="s">
        <v>82</v>
      </c>
      <c r="Q34" s="2" t="s">
        <v>38</v>
      </c>
      <c r="R34" s="2" t="s">
        <v>39</v>
      </c>
      <c r="S34" s="2" t="s">
        <v>40</v>
      </c>
      <c r="T34" s="2" t="s">
        <v>39</v>
      </c>
      <c r="U34" s="2" t="s">
        <v>41</v>
      </c>
      <c r="V34" s="2" t="s">
        <v>42</v>
      </c>
      <c r="W34" s="2"/>
      <c r="X34" s="2" t="s">
        <v>43</v>
      </c>
      <c r="Y34" s="2">
        <v>18</v>
      </c>
      <c r="Z34" s="5" t="s">
        <v>44</v>
      </c>
      <c r="AA34" s="45"/>
      <c r="AB34" s="45" t="s">
        <v>83</v>
      </c>
      <c r="AC34" s="46">
        <v>34</v>
      </c>
      <c r="AD34" s="45" t="s">
        <v>77</v>
      </c>
    </row>
    <row r="35" spans="1:30">
      <c r="A35" s="2" t="s">
        <v>132</v>
      </c>
      <c r="B35" s="2" t="s">
        <v>118</v>
      </c>
      <c r="C35" s="3">
        <v>123</v>
      </c>
      <c r="D35" s="2" t="s">
        <v>54</v>
      </c>
      <c r="E35" s="2" t="s">
        <v>55</v>
      </c>
      <c r="F35" s="2" t="s">
        <v>30</v>
      </c>
      <c r="G35" s="2" t="s">
        <v>31</v>
      </c>
      <c r="H35" s="2">
        <v>1</v>
      </c>
      <c r="I35" s="2" t="s">
        <v>64</v>
      </c>
      <c r="J35" s="2" t="s">
        <v>65</v>
      </c>
      <c r="K35" s="2" t="s">
        <v>34</v>
      </c>
      <c r="L35" s="2" t="s">
        <v>35</v>
      </c>
      <c r="M35" s="3">
        <v>914</v>
      </c>
      <c r="N35" s="3">
        <v>2134</v>
      </c>
      <c r="O35" s="2" t="s">
        <v>36</v>
      </c>
      <c r="P35" s="2" t="s">
        <v>37</v>
      </c>
      <c r="Q35" s="2" t="s">
        <v>38</v>
      </c>
      <c r="R35" s="2" t="s">
        <v>39</v>
      </c>
      <c r="S35" s="2" t="s">
        <v>40</v>
      </c>
      <c r="T35" s="2" t="s">
        <v>39</v>
      </c>
      <c r="U35" s="2" t="s">
        <v>41</v>
      </c>
      <c r="V35" s="2" t="s">
        <v>42</v>
      </c>
      <c r="W35" s="2"/>
      <c r="X35" s="2" t="s">
        <v>43</v>
      </c>
      <c r="Y35" s="2">
        <v>18</v>
      </c>
      <c r="Z35" s="5" t="s">
        <v>44</v>
      </c>
      <c r="AA35" s="45"/>
      <c r="AB35" s="45" t="s">
        <v>58</v>
      </c>
      <c r="AC35" s="46">
        <v>25</v>
      </c>
      <c r="AD35" s="45" t="s">
        <v>46</v>
      </c>
    </row>
    <row r="36" spans="1:30">
      <c r="A36" s="2" t="s">
        <v>133</v>
      </c>
      <c r="B36" s="2" t="s">
        <v>118</v>
      </c>
      <c r="C36" s="3">
        <v>123</v>
      </c>
      <c r="D36" s="2" t="s">
        <v>85</v>
      </c>
      <c r="E36" s="2" t="s">
        <v>134</v>
      </c>
      <c r="F36" s="2" t="s">
        <v>30</v>
      </c>
      <c r="G36" s="2" t="s">
        <v>31</v>
      </c>
      <c r="H36" s="2">
        <v>1</v>
      </c>
      <c r="I36" s="2" t="s">
        <v>121</v>
      </c>
      <c r="J36" s="2" t="s">
        <v>122</v>
      </c>
      <c r="K36" s="2" t="s">
        <v>34</v>
      </c>
      <c r="L36" s="2" t="s">
        <v>35</v>
      </c>
      <c r="M36" s="3">
        <v>914</v>
      </c>
      <c r="N36" s="3">
        <v>2134</v>
      </c>
      <c r="O36" s="2" t="s">
        <v>36</v>
      </c>
      <c r="P36" s="2" t="s">
        <v>82</v>
      </c>
      <c r="Q36" s="2" t="s">
        <v>38</v>
      </c>
      <c r="R36" s="2" t="s">
        <v>39</v>
      </c>
      <c r="S36" s="2" t="s">
        <v>40</v>
      </c>
      <c r="T36" s="2" t="s">
        <v>39</v>
      </c>
      <c r="U36" s="2" t="s">
        <v>41</v>
      </c>
      <c r="V36" s="2" t="s">
        <v>42</v>
      </c>
      <c r="W36" s="2"/>
      <c r="X36" s="2" t="s">
        <v>43</v>
      </c>
      <c r="Y36" s="2">
        <v>18</v>
      </c>
      <c r="Z36" s="5" t="s">
        <v>44</v>
      </c>
      <c r="AA36" s="45"/>
      <c r="AB36" s="45" t="s">
        <v>83</v>
      </c>
      <c r="AC36" s="46">
        <v>34</v>
      </c>
      <c r="AD36" s="45" t="s">
        <v>77</v>
      </c>
    </row>
    <row r="37" spans="1:30">
      <c r="A37" s="2" t="s">
        <v>135</v>
      </c>
      <c r="B37" s="2" t="s">
        <v>54</v>
      </c>
      <c r="C37" s="2" t="s">
        <v>55</v>
      </c>
      <c r="D37" s="2" t="s">
        <v>118</v>
      </c>
      <c r="E37" s="3">
        <v>124</v>
      </c>
      <c r="F37" s="2" t="s">
        <v>30</v>
      </c>
      <c r="G37" s="2" t="s">
        <v>31</v>
      </c>
      <c r="H37" s="2">
        <v>1</v>
      </c>
      <c r="I37" s="2" t="s">
        <v>64</v>
      </c>
      <c r="J37" s="2" t="s">
        <v>65</v>
      </c>
      <c r="K37" s="2" t="s">
        <v>34</v>
      </c>
      <c r="L37" s="2" t="s">
        <v>35</v>
      </c>
      <c r="M37" s="3">
        <v>914</v>
      </c>
      <c r="N37" s="3">
        <v>2134</v>
      </c>
      <c r="O37" s="2" t="s">
        <v>36</v>
      </c>
      <c r="P37" s="2" t="s">
        <v>37</v>
      </c>
      <c r="Q37" s="2" t="s">
        <v>38</v>
      </c>
      <c r="R37" s="2" t="s">
        <v>39</v>
      </c>
      <c r="S37" s="2" t="s">
        <v>40</v>
      </c>
      <c r="T37" s="2" t="s">
        <v>39</v>
      </c>
      <c r="U37" s="2" t="s">
        <v>41</v>
      </c>
      <c r="V37" s="2" t="s">
        <v>42</v>
      </c>
      <c r="W37" s="2"/>
      <c r="X37" s="2" t="s">
        <v>43</v>
      </c>
      <c r="Y37" s="2">
        <v>18</v>
      </c>
      <c r="Z37" s="5" t="s">
        <v>44</v>
      </c>
      <c r="AA37" s="45"/>
      <c r="AB37" s="45" t="s">
        <v>58</v>
      </c>
      <c r="AC37" s="46">
        <v>24</v>
      </c>
      <c r="AD37" s="45" t="s">
        <v>59</v>
      </c>
    </row>
    <row r="38" spans="1:30">
      <c r="A38" s="2" t="s">
        <v>136</v>
      </c>
      <c r="B38" s="2" t="s">
        <v>85</v>
      </c>
      <c r="C38" s="2" t="s">
        <v>137</v>
      </c>
      <c r="D38" s="2" t="s">
        <v>118</v>
      </c>
      <c r="E38" s="3">
        <v>124</v>
      </c>
      <c r="F38" s="2" t="s">
        <v>30</v>
      </c>
      <c r="G38" s="2" t="s">
        <v>31</v>
      </c>
      <c r="H38" s="2">
        <v>1</v>
      </c>
      <c r="I38" s="2" t="s">
        <v>121</v>
      </c>
      <c r="J38" s="2" t="s">
        <v>122</v>
      </c>
      <c r="K38" s="2" t="s">
        <v>34</v>
      </c>
      <c r="L38" s="2" t="s">
        <v>35</v>
      </c>
      <c r="M38" s="3">
        <v>914</v>
      </c>
      <c r="N38" s="3">
        <v>2134</v>
      </c>
      <c r="O38" s="2" t="s">
        <v>36</v>
      </c>
      <c r="P38" s="2" t="s">
        <v>82</v>
      </c>
      <c r="Q38" s="2" t="s">
        <v>38</v>
      </c>
      <c r="R38" s="2" t="s">
        <v>39</v>
      </c>
      <c r="S38" s="2" t="s">
        <v>40</v>
      </c>
      <c r="T38" s="2" t="s">
        <v>39</v>
      </c>
      <c r="U38" s="2" t="s">
        <v>41</v>
      </c>
      <c r="V38" s="2" t="s">
        <v>42</v>
      </c>
      <c r="W38" s="2"/>
      <c r="X38" s="2" t="s">
        <v>43</v>
      </c>
      <c r="Y38" s="2">
        <v>18</v>
      </c>
      <c r="Z38" s="5" t="s">
        <v>44</v>
      </c>
      <c r="AA38" s="45"/>
      <c r="AB38" s="45" t="s">
        <v>83</v>
      </c>
      <c r="AC38" s="46">
        <v>34</v>
      </c>
      <c r="AD38" s="45" t="s">
        <v>77</v>
      </c>
    </row>
    <row r="39" spans="1:30">
      <c r="A39" s="2" t="s">
        <v>138</v>
      </c>
      <c r="B39" s="2" t="s">
        <v>54</v>
      </c>
      <c r="C39" s="2" t="s">
        <v>55</v>
      </c>
      <c r="D39" s="2" t="s">
        <v>139</v>
      </c>
      <c r="E39" s="3">
        <v>126</v>
      </c>
      <c r="F39" s="2" t="s">
        <v>30</v>
      </c>
      <c r="G39" s="2" t="s">
        <v>31</v>
      </c>
      <c r="H39" s="2">
        <v>1</v>
      </c>
      <c r="I39" s="2" t="s">
        <v>64</v>
      </c>
      <c r="J39" s="2" t="s">
        <v>65</v>
      </c>
      <c r="K39" s="2" t="s">
        <v>34</v>
      </c>
      <c r="L39" s="2" t="s">
        <v>35</v>
      </c>
      <c r="M39" s="3">
        <v>914</v>
      </c>
      <c r="N39" s="3">
        <v>2134</v>
      </c>
      <c r="O39" s="2" t="s">
        <v>36</v>
      </c>
      <c r="P39" s="2" t="s">
        <v>82</v>
      </c>
      <c r="Q39" s="2" t="s">
        <v>38</v>
      </c>
      <c r="R39" s="2" t="s">
        <v>39</v>
      </c>
      <c r="S39" s="2" t="s">
        <v>40</v>
      </c>
      <c r="T39" s="2" t="s">
        <v>39</v>
      </c>
      <c r="U39" s="2" t="s">
        <v>41</v>
      </c>
      <c r="V39" s="2" t="s">
        <v>42</v>
      </c>
      <c r="W39" s="2"/>
      <c r="X39" s="2" t="s">
        <v>43</v>
      </c>
      <c r="Y39" s="2">
        <v>18</v>
      </c>
      <c r="Z39" s="5" t="s">
        <v>44</v>
      </c>
      <c r="AA39" s="2" t="s">
        <v>140</v>
      </c>
      <c r="AB39" s="45" t="s">
        <v>88</v>
      </c>
      <c r="AC39" s="46">
        <v>38</v>
      </c>
      <c r="AD39" s="2" t="s">
        <v>59</v>
      </c>
    </row>
    <row r="40" spans="1:30">
      <c r="A40" s="2" t="s">
        <v>141</v>
      </c>
      <c r="B40" s="2" t="s">
        <v>54</v>
      </c>
      <c r="C40" s="2" t="s">
        <v>55</v>
      </c>
      <c r="D40" s="2" t="s">
        <v>142</v>
      </c>
      <c r="E40" s="3">
        <v>127</v>
      </c>
      <c r="F40" s="2" t="s">
        <v>30</v>
      </c>
      <c r="G40" s="2" t="s">
        <v>31</v>
      </c>
      <c r="H40" s="2">
        <v>1</v>
      </c>
      <c r="I40" s="2" t="s">
        <v>64</v>
      </c>
      <c r="J40" s="2" t="s">
        <v>65</v>
      </c>
      <c r="K40" s="2" t="s">
        <v>34</v>
      </c>
      <c r="L40" s="2" t="s">
        <v>35</v>
      </c>
      <c r="M40" s="3">
        <v>914</v>
      </c>
      <c r="N40" s="3">
        <v>2134</v>
      </c>
      <c r="O40" s="2" t="s">
        <v>36</v>
      </c>
      <c r="P40" s="2" t="s">
        <v>37</v>
      </c>
      <c r="Q40" s="2" t="s">
        <v>38</v>
      </c>
      <c r="R40" s="2" t="s">
        <v>39</v>
      </c>
      <c r="S40" s="2" t="s">
        <v>40</v>
      </c>
      <c r="T40" s="2" t="s">
        <v>39</v>
      </c>
      <c r="U40" s="2" t="s">
        <v>41</v>
      </c>
      <c r="V40" s="2" t="s">
        <v>42</v>
      </c>
      <c r="W40" s="2"/>
      <c r="X40" s="2" t="s">
        <v>43</v>
      </c>
      <c r="Y40" s="2">
        <v>18</v>
      </c>
      <c r="Z40" s="5" t="s">
        <v>44</v>
      </c>
      <c r="AA40" s="45"/>
      <c r="AB40" s="45" t="s">
        <v>58</v>
      </c>
      <c r="AC40" s="46">
        <v>25</v>
      </c>
      <c r="AD40" s="45" t="s">
        <v>46</v>
      </c>
    </row>
    <row r="41" spans="1:30">
      <c r="A41" s="2" t="s">
        <v>143</v>
      </c>
      <c r="B41" s="2" t="s">
        <v>142</v>
      </c>
      <c r="C41" s="3">
        <v>127</v>
      </c>
      <c r="D41" s="2" t="s">
        <v>75</v>
      </c>
      <c r="E41" s="2" t="s">
        <v>144</v>
      </c>
      <c r="F41" s="2" t="s">
        <v>30</v>
      </c>
      <c r="G41" s="2" t="s">
        <v>31</v>
      </c>
      <c r="H41" s="2">
        <v>1</v>
      </c>
      <c r="I41" s="2" t="s">
        <v>32</v>
      </c>
      <c r="J41" s="2" t="s">
        <v>33</v>
      </c>
      <c r="K41" s="2" t="s">
        <v>34</v>
      </c>
      <c r="L41" s="2" t="s">
        <v>35</v>
      </c>
      <c r="M41" s="3">
        <v>914</v>
      </c>
      <c r="N41" s="3">
        <v>2134</v>
      </c>
      <c r="O41" s="2" t="s">
        <v>36</v>
      </c>
      <c r="P41" s="2" t="s">
        <v>37</v>
      </c>
      <c r="Q41" s="2" t="s">
        <v>38</v>
      </c>
      <c r="R41" s="2" t="s">
        <v>39</v>
      </c>
      <c r="S41" s="2" t="s">
        <v>40</v>
      </c>
      <c r="T41" s="2" t="s">
        <v>39</v>
      </c>
      <c r="U41" s="2" t="s">
        <v>41</v>
      </c>
      <c r="V41" s="2" t="s">
        <v>42</v>
      </c>
      <c r="W41" s="2"/>
      <c r="X41" s="2" t="s">
        <v>43</v>
      </c>
      <c r="Y41" s="2">
        <v>18</v>
      </c>
      <c r="Z41" s="5" t="s">
        <v>44</v>
      </c>
      <c r="AA41" s="45"/>
      <c r="AB41" s="45" t="s">
        <v>58</v>
      </c>
      <c r="AC41" s="46">
        <v>21</v>
      </c>
      <c r="AD41" s="45" t="s">
        <v>145</v>
      </c>
    </row>
    <row r="42" spans="1:30">
      <c r="A42" s="2" t="s">
        <v>146</v>
      </c>
      <c r="B42" s="2" t="s">
        <v>142</v>
      </c>
      <c r="C42" s="3">
        <v>131</v>
      </c>
      <c r="D42" s="2" t="s">
        <v>75</v>
      </c>
      <c r="E42" s="2" t="s">
        <v>144</v>
      </c>
      <c r="F42" s="2" t="s">
        <v>30</v>
      </c>
      <c r="G42" s="2" t="s">
        <v>31</v>
      </c>
      <c r="H42" s="2">
        <v>1</v>
      </c>
      <c r="I42" s="2" t="s">
        <v>32</v>
      </c>
      <c r="J42" s="2" t="s">
        <v>33</v>
      </c>
      <c r="K42" s="2" t="s">
        <v>34</v>
      </c>
      <c r="L42" s="2" t="s">
        <v>35</v>
      </c>
      <c r="M42" s="3">
        <v>914</v>
      </c>
      <c r="N42" s="3">
        <v>2134</v>
      </c>
      <c r="O42" s="2" t="s">
        <v>36</v>
      </c>
      <c r="P42" s="2" t="s">
        <v>37</v>
      </c>
      <c r="Q42" s="2" t="s">
        <v>38</v>
      </c>
      <c r="R42" s="2" t="s">
        <v>39</v>
      </c>
      <c r="S42" s="2" t="s">
        <v>40</v>
      </c>
      <c r="T42" s="2" t="s">
        <v>39</v>
      </c>
      <c r="U42" s="2" t="s">
        <v>41</v>
      </c>
      <c r="V42" s="2" t="s">
        <v>42</v>
      </c>
      <c r="W42" s="2"/>
      <c r="X42" s="2" t="s">
        <v>43</v>
      </c>
      <c r="Y42" s="2">
        <v>18</v>
      </c>
      <c r="Z42" s="5" t="s">
        <v>44</v>
      </c>
      <c r="AA42" s="45"/>
      <c r="AB42" s="45" t="s">
        <v>58</v>
      </c>
      <c r="AC42" s="46">
        <v>21</v>
      </c>
      <c r="AD42" s="45" t="s">
        <v>145</v>
      </c>
    </row>
    <row r="43" spans="1:30">
      <c r="A43" s="2" t="s">
        <v>147</v>
      </c>
      <c r="B43" s="2" t="s">
        <v>142</v>
      </c>
      <c r="C43" s="3">
        <v>127</v>
      </c>
      <c r="D43" s="2" t="s">
        <v>148</v>
      </c>
      <c r="E43" s="2" t="s">
        <v>149</v>
      </c>
      <c r="F43" s="2" t="s">
        <v>30</v>
      </c>
      <c r="G43" s="2" t="s">
        <v>31</v>
      </c>
      <c r="H43" s="2">
        <v>1</v>
      </c>
      <c r="I43" s="2" t="s">
        <v>121</v>
      </c>
      <c r="J43" s="2" t="s">
        <v>122</v>
      </c>
      <c r="K43" s="2" t="s">
        <v>34</v>
      </c>
      <c r="L43" s="2" t="s">
        <v>35</v>
      </c>
      <c r="M43" s="3">
        <v>914</v>
      </c>
      <c r="N43" s="3">
        <v>2134</v>
      </c>
      <c r="O43" s="2" t="s">
        <v>36</v>
      </c>
      <c r="P43" s="2" t="s">
        <v>82</v>
      </c>
      <c r="Q43" s="2" t="s">
        <v>38</v>
      </c>
      <c r="R43" s="2" t="s">
        <v>39</v>
      </c>
      <c r="S43" s="2" t="s">
        <v>40</v>
      </c>
      <c r="T43" s="2" t="s">
        <v>39</v>
      </c>
      <c r="U43" s="2" t="s">
        <v>41</v>
      </c>
      <c r="V43" s="2" t="s">
        <v>42</v>
      </c>
      <c r="W43" s="2"/>
      <c r="X43" s="2" t="s">
        <v>43</v>
      </c>
      <c r="Y43" s="2">
        <v>18</v>
      </c>
      <c r="Z43" s="5" t="s">
        <v>44</v>
      </c>
      <c r="AA43" s="45"/>
      <c r="AB43" s="45" t="s">
        <v>88</v>
      </c>
      <c r="AC43" s="46">
        <v>37</v>
      </c>
      <c r="AD43" s="45" t="s">
        <v>59</v>
      </c>
    </row>
    <row r="44" spans="1:30">
      <c r="A44" s="2" t="s">
        <v>150</v>
      </c>
      <c r="B44" s="2" t="s">
        <v>85</v>
      </c>
      <c r="C44" s="3">
        <v>128</v>
      </c>
      <c r="D44" s="2" t="s">
        <v>54</v>
      </c>
      <c r="E44" s="2" t="s">
        <v>55</v>
      </c>
      <c r="F44" s="2" t="s">
        <v>30</v>
      </c>
      <c r="G44" s="2" t="s">
        <v>31</v>
      </c>
      <c r="H44" s="2">
        <v>1</v>
      </c>
      <c r="I44" s="2" t="s">
        <v>64</v>
      </c>
      <c r="J44" s="2" t="s">
        <v>65</v>
      </c>
      <c r="K44" s="2" t="s">
        <v>81</v>
      </c>
      <c r="L44" s="2" t="s">
        <v>35</v>
      </c>
      <c r="M44" s="3">
        <v>813</v>
      </c>
      <c r="N44" s="3">
        <v>2134</v>
      </c>
      <c r="O44" s="2" t="s">
        <v>36</v>
      </c>
      <c r="P44" s="2" t="s">
        <v>82</v>
      </c>
      <c r="Q44" s="2" t="s">
        <v>38</v>
      </c>
      <c r="R44" s="2" t="s">
        <v>39</v>
      </c>
      <c r="S44" s="2" t="s">
        <v>40</v>
      </c>
      <c r="T44" s="2" t="s">
        <v>39</v>
      </c>
      <c r="U44" s="2" t="s">
        <v>41</v>
      </c>
      <c r="V44" s="2" t="s">
        <v>42</v>
      </c>
      <c r="W44" s="2"/>
      <c r="X44" s="2" t="s">
        <v>43</v>
      </c>
      <c r="Y44" s="2">
        <v>18</v>
      </c>
      <c r="Z44" s="5" t="s">
        <v>44</v>
      </c>
      <c r="AA44" s="45"/>
      <c r="AB44" s="45" t="s">
        <v>83</v>
      </c>
      <c r="AC44" s="46">
        <v>33</v>
      </c>
      <c r="AD44" s="45" t="s">
        <v>59</v>
      </c>
    </row>
    <row r="45" spans="1:30">
      <c r="A45" s="2" t="s">
        <v>151</v>
      </c>
      <c r="B45" s="2" t="s">
        <v>85</v>
      </c>
      <c r="C45" s="3">
        <v>129</v>
      </c>
      <c r="D45" s="2" t="s">
        <v>54</v>
      </c>
      <c r="E45" s="2" t="s">
        <v>55</v>
      </c>
      <c r="F45" s="2" t="s">
        <v>30</v>
      </c>
      <c r="G45" s="2" t="s">
        <v>31</v>
      </c>
      <c r="H45" s="2">
        <v>1</v>
      </c>
      <c r="I45" s="2" t="s">
        <v>64</v>
      </c>
      <c r="J45" s="2" t="s">
        <v>65</v>
      </c>
      <c r="K45" s="2" t="s">
        <v>81</v>
      </c>
      <c r="L45" s="2" t="s">
        <v>35</v>
      </c>
      <c r="M45" s="3">
        <v>813</v>
      </c>
      <c r="N45" s="3">
        <v>2134</v>
      </c>
      <c r="O45" s="2" t="s">
        <v>36</v>
      </c>
      <c r="P45" s="2" t="s">
        <v>82</v>
      </c>
      <c r="Q45" s="2" t="s">
        <v>38</v>
      </c>
      <c r="R45" s="2" t="s">
        <v>39</v>
      </c>
      <c r="S45" s="2" t="s">
        <v>40</v>
      </c>
      <c r="T45" s="2" t="s">
        <v>39</v>
      </c>
      <c r="U45" s="2" t="s">
        <v>41</v>
      </c>
      <c r="V45" s="2" t="s">
        <v>42</v>
      </c>
      <c r="W45" s="2"/>
      <c r="X45" s="2" t="s">
        <v>43</v>
      </c>
      <c r="Y45" s="2">
        <v>18</v>
      </c>
      <c r="Z45" s="5" t="s">
        <v>44</v>
      </c>
      <c r="AA45" s="45"/>
      <c r="AB45" s="45" t="s">
        <v>83</v>
      </c>
      <c r="AC45" s="46">
        <v>33</v>
      </c>
      <c r="AD45" s="45" t="s">
        <v>59</v>
      </c>
    </row>
    <row r="46" spans="1:30">
      <c r="A46" s="2" t="s">
        <v>152</v>
      </c>
      <c r="B46" s="2" t="s">
        <v>54</v>
      </c>
      <c r="C46" s="2" t="s">
        <v>55</v>
      </c>
      <c r="D46" s="2" t="s">
        <v>87</v>
      </c>
      <c r="E46" s="3">
        <v>130</v>
      </c>
      <c r="F46" s="2" t="s">
        <v>30</v>
      </c>
      <c r="G46" s="2" t="s">
        <v>31</v>
      </c>
      <c r="H46" s="2">
        <v>1</v>
      </c>
      <c r="I46" s="2" t="s">
        <v>64</v>
      </c>
      <c r="J46" s="2" t="s">
        <v>65</v>
      </c>
      <c r="K46" s="2" t="s">
        <v>34</v>
      </c>
      <c r="L46" s="2" t="s">
        <v>35</v>
      </c>
      <c r="M46" s="3">
        <v>914</v>
      </c>
      <c r="N46" s="3">
        <v>2134</v>
      </c>
      <c r="O46" s="2" t="s">
        <v>36</v>
      </c>
      <c r="P46" s="2" t="s">
        <v>82</v>
      </c>
      <c r="Q46" s="2" t="s">
        <v>38</v>
      </c>
      <c r="R46" s="2" t="s">
        <v>39</v>
      </c>
      <c r="S46" s="2" t="s">
        <v>40</v>
      </c>
      <c r="T46" s="2" t="s">
        <v>39</v>
      </c>
      <c r="U46" s="2" t="s">
        <v>41</v>
      </c>
      <c r="V46" s="2" t="s">
        <v>42</v>
      </c>
      <c r="W46" s="2"/>
      <c r="X46" s="2" t="s">
        <v>43</v>
      </c>
      <c r="Y46" s="2">
        <v>18</v>
      </c>
      <c r="Z46" s="5" t="s">
        <v>44</v>
      </c>
      <c r="AA46" s="45"/>
      <c r="AB46" s="45" t="s">
        <v>88</v>
      </c>
      <c r="AC46" s="46">
        <v>13</v>
      </c>
      <c r="AD46" s="45" t="s">
        <v>89</v>
      </c>
    </row>
    <row r="47" spans="1:30">
      <c r="A47" s="2" t="s">
        <v>153</v>
      </c>
      <c r="B47" s="2" t="s">
        <v>54</v>
      </c>
      <c r="C47" s="2" t="s">
        <v>55</v>
      </c>
      <c r="D47" s="2" t="s">
        <v>142</v>
      </c>
      <c r="E47" s="3">
        <v>131</v>
      </c>
      <c r="F47" s="2" t="s">
        <v>30</v>
      </c>
      <c r="G47" s="2" t="s">
        <v>31</v>
      </c>
      <c r="H47" s="2">
        <v>1</v>
      </c>
      <c r="I47" s="2" t="s">
        <v>64</v>
      </c>
      <c r="J47" s="2" t="s">
        <v>65</v>
      </c>
      <c r="K47" s="2" t="s">
        <v>34</v>
      </c>
      <c r="L47" s="2" t="s">
        <v>35</v>
      </c>
      <c r="M47" s="3">
        <v>914</v>
      </c>
      <c r="N47" s="3">
        <v>2134</v>
      </c>
      <c r="O47" s="2" t="s">
        <v>36</v>
      </c>
      <c r="P47" s="2" t="s">
        <v>37</v>
      </c>
      <c r="Q47" s="2" t="s">
        <v>38</v>
      </c>
      <c r="R47" s="2" t="s">
        <v>39</v>
      </c>
      <c r="S47" s="2" t="s">
        <v>40</v>
      </c>
      <c r="T47" s="2" t="s">
        <v>39</v>
      </c>
      <c r="U47" s="2" t="s">
        <v>41</v>
      </c>
      <c r="V47" s="2" t="s">
        <v>42</v>
      </c>
      <c r="W47" s="2"/>
      <c r="X47" s="2" t="s">
        <v>43</v>
      </c>
      <c r="Y47" s="2">
        <v>18</v>
      </c>
      <c r="Z47" s="5" t="s">
        <v>44</v>
      </c>
      <c r="AA47" s="45"/>
      <c r="AB47" s="45" t="s">
        <v>58</v>
      </c>
      <c r="AC47" s="46">
        <v>25</v>
      </c>
      <c r="AD47" s="45" t="s">
        <v>46</v>
      </c>
    </row>
    <row r="48" spans="1:30">
      <c r="A48" s="2" t="s">
        <v>154</v>
      </c>
      <c r="B48" s="2" t="s">
        <v>148</v>
      </c>
      <c r="C48" s="2" t="s">
        <v>155</v>
      </c>
      <c r="D48" s="2" t="s">
        <v>142</v>
      </c>
      <c r="E48" s="3">
        <v>131</v>
      </c>
      <c r="F48" s="2" t="s">
        <v>30</v>
      </c>
      <c r="G48" s="2" t="s">
        <v>31</v>
      </c>
      <c r="H48" s="2">
        <v>1</v>
      </c>
      <c r="I48" s="2" t="s">
        <v>121</v>
      </c>
      <c r="J48" s="2" t="s">
        <v>122</v>
      </c>
      <c r="K48" s="2" t="s">
        <v>34</v>
      </c>
      <c r="L48" s="2" t="s">
        <v>35</v>
      </c>
      <c r="M48" s="3">
        <v>914</v>
      </c>
      <c r="N48" s="3">
        <v>2134</v>
      </c>
      <c r="O48" s="2" t="s">
        <v>36</v>
      </c>
      <c r="P48" s="2" t="s">
        <v>82</v>
      </c>
      <c r="Q48" s="2" t="s">
        <v>38</v>
      </c>
      <c r="R48" s="2" t="s">
        <v>39</v>
      </c>
      <c r="S48" s="2" t="s">
        <v>40</v>
      </c>
      <c r="T48" s="2" t="s">
        <v>39</v>
      </c>
      <c r="U48" s="2" t="s">
        <v>41</v>
      </c>
      <c r="V48" s="2" t="s">
        <v>42</v>
      </c>
      <c r="W48" s="2"/>
      <c r="X48" s="2" t="s">
        <v>43</v>
      </c>
      <c r="Y48" s="2">
        <v>18</v>
      </c>
      <c r="Z48" s="5" t="s">
        <v>44</v>
      </c>
      <c r="AA48" s="45"/>
      <c r="AB48" s="45" t="s">
        <v>88</v>
      </c>
      <c r="AC48" s="46">
        <v>37</v>
      </c>
      <c r="AD48" s="45" t="s">
        <v>59</v>
      </c>
    </row>
    <row r="49" spans="1:30">
      <c r="A49" s="2" t="s">
        <v>156</v>
      </c>
      <c r="B49" s="2" t="s">
        <v>54</v>
      </c>
      <c r="C49" s="2" t="s">
        <v>157</v>
      </c>
      <c r="D49" s="2" t="s">
        <v>158</v>
      </c>
      <c r="E49" s="3">
        <v>201</v>
      </c>
      <c r="F49" s="2" t="s">
        <v>159</v>
      </c>
      <c r="G49" s="2" t="s">
        <v>31</v>
      </c>
      <c r="H49" s="2">
        <v>1</v>
      </c>
      <c r="I49" s="2" t="s">
        <v>64</v>
      </c>
      <c r="J49" s="2" t="s">
        <v>65</v>
      </c>
      <c r="K49" s="2" t="s">
        <v>34</v>
      </c>
      <c r="L49" s="2" t="s">
        <v>35</v>
      </c>
      <c r="M49" s="3">
        <v>914</v>
      </c>
      <c r="N49" s="3">
        <v>2134</v>
      </c>
      <c r="O49" s="2" t="s">
        <v>36</v>
      </c>
      <c r="P49" s="2" t="s">
        <v>37</v>
      </c>
      <c r="Q49" s="2" t="s">
        <v>38</v>
      </c>
      <c r="R49" s="2" t="s">
        <v>39</v>
      </c>
      <c r="S49" s="2" t="s">
        <v>40</v>
      </c>
      <c r="T49" s="2" t="s">
        <v>39</v>
      </c>
      <c r="U49" s="2" t="s">
        <v>41</v>
      </c>
      <c r="V49" s="2" t="s">
        <v>42</v>
      </c>
      <c r="W49" s="2"/>
      <c r="X49" s="2" t="s">
        <v>43</v>
      </c>
      <c r="Y49" s="2">
        <v>18</v>
      </c>
      <c r="Z49" s="5" t="s">
        <v>44</v>
      </c>
      <c r="AA49" s="45"/>
      <c r="AB49" s="45" t="s">
        <v>58</v>
      </c>
      <c r="AC49" s="46">
        <v>24</v>
      </c>
      <c r="AD49" s="45" t="s">
        <v>59</v>
      </c>
    </row>
    <row r="50" spans="1:30">
      <c r="A50" s="2" t="s">
        <v>160</v>
      </c>
      <c r="B50" s="2" t="s">
        <v>158</v>
      </c>
      <c r="C50" s="3">
        <v>202</v>
      </c>
      <c r="D50" s="2" t="s">
        <v>54</v>
      </c>
      <c r="E50" s="2" t="s">
        <v>157</v>
      </c>
      <c r="F50" s="2" t="s">
        <v>159</v>
      </c>
      <c r="G50" s="2" t="s">
        <v>31</v>
      </c>
      <c r="H50" s="2">
        <v>1</v>
      </c>
      <c r="I50" s="2" t="s">
        <v>64</v>
      </c>
      <c r="J50" s="2" t="s">
        <v>65</v>
      </c>
      <c r="K50" s="2" t="s">
        <v>34</v>
      </c>
      <c r="L50" s="2" t="s">
        <v>35</v>
      </c>
      <c r="M50" s="3">
        <v>914</v>
      </c>
      <c r="N50" s="3">
        <v>2134</v>
      </c>
      <c r="O50" s="2" t="s">
        <v>36</v>
      </c>
      <c r="P50" s="2" t="s">
        <v>37</v>
      </c>
      <c r="Q50" s="2" t="s">
        <v>38</v>
      </c>
      <c r="R50" s="2" t="s">
        <v>39</v>
      </c>
      <c r="S50" s="2" t="s">
        <v>40</v>
      </c>
      <c r="T50" s="2" t="s">
        <v>39</v>
      </c>
      <c r="U50" s="2" t="s">
        <v>41</v>
      </c>
      <c r="V50" s="2" t="s">
        <v>42</v>
      </c>
      <c r="W50" s="2"/>
      <c r="X50" s="2" t="s">
        <v>43</v>
      </c>
      <c r="Y50" s="2">
        <v>18</v>
      </c>
      <c r="Z50" s="5" t="s">
        <v>44</v>
      </c>
      <c r="AA50" s="45"/>
      <c r="AB50" s="45" t="s">
        <v>58</v>
      </c>
      <c r="AC50" s="46">
        <v>25</v>
      </c>
      <c r="AD50" s="45" t="s">
        <v>46</v>
      </c>
    </row>
    <row r="51" spans="1:30">
      <c r="A51" s="2" t="s">
        <v>161</v>
      </c>
      <c r="B51" s="2" t="s">
        <v>54</v>
      </c>
      <c r="C51" s="2" t="s">
        <v>157</v>
      </c>
      <c r="D51" s="2" t="s">
        <v>158</v>
      </c>
      <c r="E51" s="3">
        <v>203</v>
      </c>
      <c r="F51" s="2" t="s">
        <v>159</v>
      </c>
      <c r="G51" s="2" t="s">
        <v>31</v>
      </c>
      <c r="H51" s="2">
        <v>1</v>
      </c>
      <c r="I51" s="2" t="s">
        <v>64</v>
      </c>
      <c r="J51" s="2" t="s">
        <v>65</v>
      </c>
      <c r="K51" s="2" t="s">
        <v>34</v>
      </c>
      <c r="L51" s="2" t="s">
        <v>35</v>
      </c>
      <c r="M51" s="3">
        <v>914</v>
      </c>
      <c r="N51" s="3">
        <v>2134</v>
      </c>
      <c r="O51" s="2" t="s">
        <v>36</v>
      </c>
      <c r="P51" s="2" t="s">
        <v>37</v>
      </c>
      <c r="Q51" s="2" t="s">
        <v>38</v>
      </c>
      <c r="R51" s="2" t="s">
        <v>39</v>
      </c>
      <c r="S51" s="2" t="s">
        <v>40</v>
      </c>
      <c r="T51" s="2" t="s">
        <v>39</v>
      </c>
      <c r="U51" s="2" t="s">
        <v>41</v>
      </c>
      <c r="V51" s="2" t="s">
        <v>42</v>
      </c>
      <c r="W51" s="2"/>
      <c r="X51" s="2" t="s">
        <v>43</v>
      </c>
      <c r="Y51" s="2">
        <v>18</v>
      </c>
      <c r="Z51" s="5" t="s">
        <v>44</v>
      </c>
      <c r="AA51" s="45"/>
      <c r="AB51" s="45" t="s">
        <v>58</v>
      </c>
      <c r="AC51" s="46">
        <v>25</v>
      </c>
      <c r="AD51" s="45" t="s">
        <v>46</v>
      </c>
    </row>
    <row r="52" spans="1:30">
      <c r="A52" s="2" t="s">
        <v>162</v>
      </c>
      <c r="B52" s="2" t="s">
        <v>54</v>
      </c>
      <c r="C52" s="2" t="s">
        <v>157</v>
      </c>
      <c r="D52" s="2" t="s">
        <v>114</v>
      </c>
      <c r="E52" s="3">
        <v>204</v>
      </c>
      <c r="F52" s="2" t="s">
        <v>159</v>
      </c>
      <c r="G52" s="2" t="s">
        <v>31</v>
      </c>
      <c r="H52" s="2">
        <v>1</v>
      </c>
      <c r="I52" s="2" t="s">
        <v>32</v>
      </c>
      <c r="J52" s="2" t="s">
        <v>33</v>
      </c>
      <c r="K52" s="2" t="s">
        <v>34</v>
      </c>
      <c r="L52" s="2" t="s">
        <v>35</v>
      </c>
      <c r="M52" s="3">
        <v>914</v>
      </c>
      <c r="N52" s="3">
        <v>2134</v>
      </c>
      <c r="O52" s="2" t="s">
        <v>36</v>
      </c>
      <c r="P52" s="2" t="s">
        <v>72</v>
      </c>
      <c r="Q52" s="2" t="s">
        <v>38</v>
      </c>
      <c r="R52" s="2" t="s">
        <v>39</v>
      </c>
      <c r="S52" s="2" t="s">
        <v>40</v>
      </c>
      <c r="T52" s="2" t="s">
        <v>39</v>
      </c>
      <c r="U52" s="2" t="s">
        <v>41</v>
      </c>
      <c r="V52" s="2" t="s">
        <v>42</v>
      </c>
      <c r="W52" s="2" t="s">
        <v>72</v>
      </c>
      <c r="X52" s="2" t="s">
        <v>43</v>
      </c>
      <c r="Y52" s="2">
        <v>18</v>
      </c>
      <c r="Z52" s="5" t="s">
        <v>44</v>
      </c>
      <c r="AA52" s="45"/>
      <c r="AB52" s="45" t="s">
        <v>58</v>
      </c>
      <c r="AC52" s="46">
        <v>24</v>
      </c>
      <c r="AD52" s="45" t="s">
        <v>59</v>
      </c>
    </row>
    <row r="53" spans="1:30">
      <c r="A53" s="2" t="s">
        <v>163</v>
      </c>
      <c r="B53" s="2" t="s">
        <v>70</v>
      </c>
      <c r="C53" s="2" t="s">
        <v>164</v>
      </c>
      <c r="D53" s="2" t="s">
        <v>114</v>
      </c>
      <c r="E53" s="3">
        <v>204</v>
      </c>
      <c r="F53" s="2" t="s">
        <v>159</v>
      </c>
      <c r="G53" s="2" t="s">
        <v>31</v>
      </c>
      <c r="H53" s="2">
        <v>1</v>
      </c>
      <c r="I53" s="2" t="s">
        <v>32</v>
      </c>
      <c r="J53" s="2" t="s">
        <v>33</v>
      </c>
      <c r="K53" s="2" t="s">
        <v>34</v>
      </c>
      <c r="L53" s="2" t="s">
        <v>35</v>
      </c>
      <c r="M53" s="3">
        <v>914</v>
      </c>
      <c r="N53" s="3">
        <v>2134</v>
      </c>
      <c r="O53" s="2" t="s">
        <v>36</v>
      </c>
      <c r="P53" s="2" t="s">
        <v>37</v>
      </c>
      <c r="Q53" s="2" t="s">
        <v>38</v>
      </c>
      <c r="R53" s="2" t="s">
        <v>39</v>
      </c>
      <c r="S53" s="2" t="s">
        <v>40</v>
      </c>
      <c r="T53" s="2" t="s">
        <v>39</v>
      </c>
      <c r="U53" s="2" t="s">
        <v>41</v>
      </c>
      <c r="V53" s="2" t="s">
        <v>42</v>
      </c>
      <c r="W53" s="2"/>
      <c r="X53" s="2" t="s">
        <v>43</v>
      </c>
      <c r="Y53" s="2">
        <v>18</v>
      </c>
      <c r="Z53" s="5" t="s">
        <v>44</v>
      </c>
      <c r="AA53" s="45"/>
      <c r="AB53" s="45" t="s">
        <v>58</v>
      </c>
      <c r="AC53" s="46">
        <v>29</v>
      </c>
      <c r="AD53" s="45" t="s">
        <v>46</v>
      </c>
    </row>
    <row r="54" spans="1:30">
      <c r="A54" s="2" t="s">
        <v>165</v>
      </c>
      <c r="B54" s="2" t="s">
        <v>54</v>
      </c>
      <c r="C54" s="2" t="s">
        <v>157</v>
      </c>
      <c r="D54" s="2" t="s">
        <v>158</v>
      </c>
      <c r="E54" s="3">
        <v>205</v>
      </c>
      <c r="F54" s="2" t="s">
        <v>159</v>
      </c>
      <c r="G54" s="2" t="s">
        <v>31</v>
      </c>
      <c r="H54" s="2">
        <v>1</v>
      </c>
      <c r="I54" s="2" t="s">
        <v>64</v>
      </c>
      <c r="J54" s="2" t="s">
        <v>65</v>
      </c>
      <c r="K54" s="2" t="s">
        <v>34</v>
      </c>
      <c r="L54" s="2" t="s">
        <v>35</v>
      </c>
      <c r="M54" s="3">
        <v>914</v>
      </c>
      <c r="N54" s="3">
        <v>2134</v>
      </c>
      <c r="O54" s="2" t="s">
        <v>36</v>
      </c>
      <c r="P54" s="2" t="s">
        <v>37</v>
      </c>
      <c r="Q54" s="2" t="s">
        <v>38</v>
      </c>
      <c r="R54" s="2" t="s">
        <v>39</v>
      </c>
      <c r="S54" s="2" t="s">
        <v>40</v>
      </c>
      <c r="T54" s="2" t="s">
        <v>39</v>
      </c>
      <c r="U54" s="2" t="s">
        <v>41</v>
      </c>
      <c r="V54" s="2" t="s">
        <v>42</v>
      </c>
      <c r="W54" s="2"/>
      <c r="X54" s="2" t="s">
        <v>43</v>
      </c>
      <c r="Y54" s="2">
        <v>18</v>
      </c>
      <c r="Z54" s="5" t="s">
        <v>44</v>
      </c>
      <c r="AA54" s="45"/>
      <c r="AB54" s="45" t="s">
        <v>58</v>
      </c>
      <c r="AC54" s="46">
        <v>25</v>
      </c>
      <c r="AD54" s="45" t="s">
        <v>46</v>
      </c>
    </row>
    <row r="55" spans="1:30">
      <c r="A55" s="2" t="s">
        <v>166</v>
      </c>
      <c r="B55" s="2" t="s">
        <v>158</v>
      </c>
      <c r="C55" s="3">
        <v>206</v>
      </c>
      <c r="D55" s="2" t="s">
        <v>54</v>
      </c>
      <c r="E55" s="2" t="s">
        <v>157</v>
      </c>
      <c r="F55" s="2" t="s">
        <v>159</v>
      </c>
      <c r="G55" s="2" t="s">
        <v>31</v>
      </c>
      <c r="H55" s="2">
        <v>1</v>
      </c>
      <c r="I55" s="2" t="s">
        <v>64</v>
      </c>
      <c r="J55" s="2" t="s">
        <v>65</v>
      </c>
      <c r="K55" s="2" t="s">
        <v>34</v>
      </c>
      <c r="L55" s="2" t="s">
        <v>35</v>
      </c>
      <c r="M55" s="3">
        <v>914</v>
      </c>
      <c r="N55" s="3">
        <v>2134</v>
      </c>
      <c r="O55" s="2" t="s">
        <v>36</v>
      </c>
      <c r="P55" s="2" t="s">
        <v>37</v>
      </c>
      <c r="Q55" s="2" t="s">
        <v>38</v>
      </c>
      <c r="R55" s="2" t="s">
        <v>39</v>
      </c>
      <c r="S55" s="2" t="s">
        <v>40</v>
      </c>
      <c r="T55" s="2" t="s">
        <v>39</v>
      </c>
      <c r="U55" s="2" t="s">
        <v>41</v>
      </c>
      <c r="V55" s="2" t="s">
        <v>42</v>
      </c>
      <c r="W55" s="2"/>
      <c r="X55" s="2" t="s">
        <v>43</v>
      </c>
      <c r="Y55" s="2">
        <v>18</v>
      </c>
      <c r="Z55" s="5" t="s">
        <v>44</v>
      </c>
      <c r="AA55" s="45"/>
      <c r="AB55" s="45" t="s">
        <v>58</v>
      </c>
      <c r="AC55" s="46">
        <v>25</v>
      </c>
      <c r="AD55" s="45" t="s">
        <v>46</v>
      </c>
    </row>
    <row r="56" spans="1:30">
      <c r="A56" s="2" t="s">
        <v>167</v>
      </c>
      <c r="B56" s="2" t="s">
        <v>54</v>
      </c>
      <c r="C56" s="2" t="s">
        <v>157</v>
      </c>
      <c r="D56" s="2" t="s">
        <v>158</v>
      </c>
      <c r="E56" s="3">
        <v>207</v>
      </c>
      <c r="F56" s="2" t="s">
        <v>159</v>
      </c>
      <c r="G56" s="2" t="s">
        <v>31</v>
      </c>
      <c r="H56" s="2">
        <v>1</v>
      </c>
      <c r="I56" s="2" t="s">
        <v>64</v>
      </c>
      <c r="J56" s="2" t="s">
        <v>65</v>
      </c>
      <c r="K56" s="2" t="s">
        <v>34</v>
      </c>
      <c r="L56" s="2" t="s">
        <v>35</v>
      </c>
      <c r="M56" s="3">
        <v>914</v>
      </c>
      <c r="N56" s="3">
        <v>2134</v>
      </c>
      <c r="O56" s="2" t="s">
        <v>36</v>
      </c>
      <c r="P56" s="2" t="s">
        <v>37</v>
      </c>
      <c r="Q56" s="2" t="s">
        <v>38</v>
      </c>
      <c r="R56" s="2" t="s">
        <v>39</v>
      </c>
      <c r="S56" s="2" t="s">
        <v>40</v>
      </c>
      <c r="T56" s="2" t="s">
        <v>39</v>
      </c>
      <c r="U56" s="2" t="s">
        <v>41</v>
      </c>
      <c r="V56" s="2" t="s">
        <v>42</v>
      </c>
      <c r="W56" s="2"/>
      <c r="X56" s="2" t="s">
        <v>43</v>
      </c>
      <c r="Y56" s="2">
        <v>18</v>
      </c>
      <c r="Z56" s="5" t="s">
        <v>44</v>
      </c>
      <c r="AA56" s="45"/>
      <c r="AB56" s="45" t="s">
        <v>58</v>
      </c>
      <c r="AC56" s="46">
        <v>25</v>
      </c>
      <c r="AD56" s="45" t="s">
        <v>46</v>
      </c>
    </row>
    <row r="57" spans="1:30">
      <c r="A57" s="2" t="s">
        <v>168</v>
      </c>
      <c r="B57" s="2" t="s">
        <v>54</v>
      </c>
      <c r="C57" s="2" t="s">
        <v>157</v>
      </c>
      <c r="D57" s="2" t="s">
        <v>158</v>
      </c>
      <c r="E57" s="3">
        <v>208</v>
      </c>
      <c r="F57" s="2" t="s">
        <v>159</v>
      </c>
      <c r="G57" s="2" t="s">
        <v>31</v>
      </c>
      <c r="H57" s="2">
        <v>1</v>
      </c>
      <c r="I57" s="2" t="s">
        <v>64</v>
      </c>
      <c r="J57" s="2" t="s">
        <v>65</v>
      </c>
      <c r="K57" s="2" t="s">
        <v>34</v>
      </c>
      <c r="L57" s="2" t="s">
        <v>35</v>
      </c>
      <c r="M57" s="3">
        <v>914</v>
      </c>
      <c r="N57" s="3">
        <v>2134</v>
      </c>
      <c r="O57" s="2" t="s">
        <v>36</v>
      </c>
      <c r="P57" s="2" t="s">
        <v>37</v>
      </c>
      <c r="Q57" s="2" t="s">
        <v>38</v>
      </c>
      <c r="R57" s="2" t="s">
        <v>39</v>
      </c>
      <c r="S57" s="2" t="s">
        <v>40</v>
      </c>
      <c r="T57" s="2" t="s">
        <v>39</v>
      </c>
      <c r="U57" s="2" t="s">
        <v>41</v>
      </c>
      <c r="V57" s="2" t="s">
        <v>42</v>
      </c>
      <c r="W57" s="2"/>
      <c r="X57" s="2" t="s">
        <v>43</v>
      </c>
      <c r="Y57" s="2">
        <v>18</v>
      </c>
      <c r="Z57" s="5" t="s">
        <v>44</v>
      </c>
      <c r="AA57" s="45"/>
      <c r="AB57" s="45" t="s">
        <v>58</v>
      </c>
      <c r="AC57" s="46">
        <v>25</v>
      </c>
      <c r="AD57" s="45" t="s">
        <v>46</v>
      </c>
    </row>
    <row r="58" spans="1:30">
      <c r="A58" s="2" t="s">
        <v>169</v>
      </c>
      <c r="B58" s="2" t="s">
        <v>158</v>
      </c>
      <c r="C58" s="3">
        <v>209</v>
      </c>
      <c r="D58" s="2" t="s">
        <v>54</v>
      </c>
      <c r="E58" s="2" t="s">
        <v>157</v>
      </c>
      <c r="F58" s="2" t="s">
        <v>159</v>
      </c>
      <c r="G58" s="2" t="s">
        <v>31</v>
      </c>
      <c r="H58" s="2">
        <v>1</v>
      </c>
      <c r="I58" s="2" t="s">
        <v>64</v>
      </c>
      <c r="J58" s="2" t="s">
        <v>65</v>
      </c>
      <c r="K58" s="2" t="s">
        <v>34</v>
      </c>
      <c r="L58" s="2" t="s">
        <v>35</v>
      </c>
      <c r="M58" s="3">
        <v>914</v>
      </c>
      <c r="N58" s="3">
        <v>2134</v>
      </c>
      <c r="O58" s="2" t="s">
        <v>36</v>
      </c>
      <c r="P58" s="2" t="s">
        <v>37</v>
      </c>
      <c r="Q58" s="2" t="s">
        <v>38</v>
      </c>
      <c r="R58" s="2" t="s">
        <v>39</v>
      </c>
      <c r="S58" s="2" t="s">
        <v>40</v>
      </c>
      <c r="T58" s="2" t="s">
        <v>39</v>
      </c>
      <c r="U58" s="2" t="s">
        <v>41</v>
      </c>
      <c r="V58" s="2" t="s">
        <v>42</v>
      </c>
      <c r="W58" s="2"/>
      <c r="X58" s="2" t="s">
        <v>43</v>
      </c>
      <c r="Y58" s="2">
        <v>18</v>
      </c>
      <c r="Z58" s="5" t="s">
        <v>44</v>
      </c>
      <c r="AA58" s="45"/>
      <c r="AB58" s="45" t="s">
        <v>58</v>
      </c>
      <c r="AC58" s="46">
        <v>25</v>
      </c>
      <c r="AD58" s="45" t="s">
        <v>46</v>
      </c>
    </row>
    <row r="59" spans="1:30">
      <c r="A59" s="2" t="s">
        <v>170</v>
      </c>
      <c r="B59" s="2" t="s">
        <v>158</v>
      </c>
      <c r="C59" s="3">
        <v>210</v>
      </c>
      <c r="D59" s="2" t="s">
        <v>54</v>
      </c>
      <c r="E59" s="2" t="s">
        <v>157</v>
      </c>
      <c r="F59" s="2" t="s">
        <v>159</v>
      </c>
      <c r="G59" s="2" t="s">
        <v>31</v>
      </c>
      <c r="H59" s="2">
        <v>1</v>
      </c>
      <c r="I59" s="2" t="s">
        <v>64</v>
      </c>
      <c r="J59" s="2" t="s">
        <v>65</v>
      </c>
      <c r="K59" s="2" t="s">
        <v>34</v>
      </c>
      <c r="L59" s="2" t="s">
        <v>35</v>
      </c>
      <c r="M59" s="3">
        <v>914</v>
      </c>
      <c r="N59" s="3">
        <v>2134</v>
      </c>
      <c r="O59" s="2" t="s">
        <v>36</v>
      </c>
      <c r="P59" s="2" t="s">
        <v>37</v>
      </c>
      <c r="Q59" s="2" t="s">
        <v>38</v>
      </c>
      <c r="R59" s="2" t="s">
        <v>39</v>
      </c>
      <c r="S59" s="2" t="s">
        <v>40</v>
      </c>
      <c r="T59" s="2" t="s">
        <v>39</v>
      </c>
      <c r="U59" s="2" t="s">
        <v>41</v>
      </c>
      <c r="V59" s="2" t="s">
        <v>42</v>
      </c>
      <c r="W59" s="2"/>
      <c r="X59" s="2" t="s">
        <v>43</v>
      </c>
      <c r="Y59" s="2">
        <v>18</v>
      </c>
      <c r="Z59" s="5" t="s">
        <v>44</v>
      </c>
      <c r="AA59" s="45"/>
      <c r="AB59" s="45" t="s">
        <v>58</v>
      </c>
      <c r="AC59" s="46">
        <v>25</v>
      </c>
      <c r="AD59" s="45" t="s">
        <v>46</v>
      </c>
    </row>
    <row r="60" spans="1:30">
      <c r="A60" s="2" t="s">
        <v>171</v>
      </c>
      <c r="B60" s="2" t="s">
        <v>54</v>
      </c>
      <c r="C60" s="2" t="s">
        <v>157</v>
      </c>
      <c r="D60" s="2" t="s">
        <v>172</v>
      </c>
      <c r="E60" s="3">
        <v>211</v>
      </c>
      <c r="F60" s="2" t="s">
        <v>159</v>
      </c>
      <c r="G60" s="2" t="s">
        <v>31</v>
      </c>
      <c r="H60" s="2">
        <v>1</v>
      </c>
      <c r="I60" s="2" t="s">
        <v>32</v>
      </c>
      <c r="J60" s="2" t="s">
        <v>33</v>
      </c>
      <c r="K60" s="2" t="s">
        <v>34</v>
      </c>
      <c r="L60" s="2" t="s">
        <v>35</v>
      </c>
      <c r="M60" s="3">
        <v>914</v>
      </c>
      <c r="N60" s="3">
        <v>2134</v>
      </c>
      <c r="O60" s="2" t="s">
        <v>36</v>
      </c>
      <c r="P60" s="2" t="s">
        <v>72</v>
      </c>
      <c r="Q60" s="2" t="s">
        <v>38</v>
      </c>
      <c r="R60" s="2" t="s">
        <v>39</v>
      </c>
      <c r="S60" s="2" t="s">
        <v>40</v>
      </c>
      <c r="T60" s="2" t="s">
        <v>39</v>
      </c>
      <c r="U60" s="2" t="s">
        <v>41</v>
      </c>
      <c r="V60" s="2" t="s">
        <v>42</v>
      </c>
      <c r="W60" s="2" t="s">
        <v>72</v>
      </c>
      <c r="X60" s="2" t="s">
        <v>43</v>
      </c>
      <c r="Y60" s="2">
        <v>18</v>
      </c>
      <c r="Z60" s="5" t="s">
        <v>44</v>
      </c>
      <c r="AA60" s="45"/>
      <c r="AB60" s="45" t="s">
        <v>58</v>
      </c>
      <c r="AC60" s="46">
        <v>24</v>
      </c>
      <c r="AD60" s="45" t="s">
        <v>59</v>
      </c>
    </row>
    <row r="61" spans="1:30">
      <c r="A61" s="2" t="s">
        <v>173</v>
      </c>
      <c r="B61" s="2" t="s">
        <v>54</v>
      </c>
      <c r="C61" s="2" t="s">
        <v>174</v>
      </c>
      <c r="D61" s="2" t="s">
        <v>87</v>
      </c>
      <c r="E61" s="3">
        <v>212</v>
      </c>
      <c r="F61" s="2" t="s">
        <v>159</v>
      </c>
      <c r="G61" s="2" t="s">
        <v>31</v>
      </c>
      <c r="H61" s="2">
        <v>1</v>
      </c>
      <c r="I61" s="2" t="s">
        <v>56</v>
      </c>
      <c r="J61" s="2" t="s">
        <v>57</v>
      </c>
      <c r="K61" s="2" t="s">
        <v>34</v>
      </c>
      <c r="L61" s="2" t="s">
        <v>35</v>
      </c>
      <c r="M61" s="3">
        <v>914</v>
      </c>
      <c r="N61" s="3">
        <v>2134</v>
      </c>
      <c r="O61" s="2" t="s">
        <v>36</v>
      </c>
      <c r="P61" s="2" t="s">
        <v>82</v>
      </c>
      <c r="Q61" s="2" t="s">
        <v>38</v>
      </c>
      <c r="R61" s="2" t="s">
        <v>39</v>
      </c>
      <c r="S61" s="2" t="s">
        <v>40</v>
      </c>
      <c r="T61" s="2" t="s">
        <v>39</v>
      </c>
      <c r="U61" s="2" t="s">
        <v>41</v>
      </c>
      <c r="V61" s="2" t="s">
        <v>42</v>
      </c>
      <c r="W61" s="2"/>
      <c r="X61" s="2" t="s">
        <v>43</v>
      </c>
      <c r="Y61" s="2">
        <v>18</v>
      </c>
      <c r="Z61" s="5" t="s">
        <v>44</v>
      </c>
      <c r="AA61" s="45"/>
      <c r="AB61" s="45" t="s">
        <v>88</v>
      </c>
      <c r="AC61" s="46">
        <v>14</v>
      </c>
      <c r="AD61" s="45" t="s">
        <v>89</v>
      </c>
    </row>
    <row r="62" spans="1:30">
      <c r="A62" s="2" t="s">
        <v>175</v>
      </c>
      <c r="B62" s="2" t="s">
        <v>85</v>
      </c>
      <c r="C62" s="3">
        <v>213</v>
      </c>
      <c r="D62" s="2" t="s">
        <v>54</v>
      </c>
      <c r="E62" s="2" t="s">
        <v>174</v>
      </c>
      <c r="F62" s="2" t="s">
        <v>159</v>
      </c>
      <c r="G62" s="2" t="s">
        <v>31</v>
      </c>
      <c r="H62" s="2">
        <v>1</v>
      </c>
      <c r="I62" s="2" t="s">
        <v>56</v>
      </c>
      <c r="J62" s="2" t="s">
        <v>57</v>
      </c>
      <c r="K62" s="2" t="s">
        <v>81</v>
      </c>
      <c r="L62" s="2" t="s">
        <v>35</v>
      </c>
      <c r="M62" s="3">
        <v>813</v>
      </c>
      <c r="N62" s="3">
        <v>2134</v>
      </c>
      <c r="O62" s="2" t="s">
        <v>36</v>
      </c>
      <c r="P62" s="2" t="s">
        <v>82</v>
      </c>
      <c r="Q62" s="2" t="s">
        <v>38</v>
      </c>
      <c r="R62" s="2" t="s">
        <v>39</v>
      </c>
      <c r="S62" s="2" t="s">
        <v>40</v>
      </c>
      <c r="T62" s="2" t="s">
        <v>39</v>
      </c>
      <c r="U62" s="2" t="s">
        <v>41</v>
      </c>
      <c r="V62" s="2" t="s">
        <v>42</v>
      </c>
      <c r="W62" s="2"/>
      <c r="X62" s="2" t="s">
        <v>43</v>
      </c>
      <c r="Y62" s="2">
        <v>18</v>
      </c>
      <c r="Z62" s="5" t="s">
        <v>44</v>
      </c>
      <c r="AA62" s="45"/>
      <c r="AB62" s="45" t="s">
        <v>83</v>
      </c>
      <c r="AC62" s="46">
        <v>32</v>
      </c>
      <c r="AD62" s="45" t="s">
        <v>59</v>
      </c>
    </row>
    <row r="63" spans="1:30">
      <c r="A63" s="2" t="s">
        <v>176</v>
      </c>
      <c r="B63" s="2" t="s">
        <v>85</v>
      </c>
      <c r="C63" s="3">
        <v>214</v>
      </c>
      <c r="D63" s="2" t="s">
        <v>54</v>
      </c>
      <c r="E63" s="2" t="s">
        <v>174</v>
      </c>
      <c r="F63" s="2" t="s">
        <v>159</v>
      </c>
      <c r="G63" s="2" t="s">
        <v>31</v>
      </c>
      <c r="H63" s="2">
        <v>1</v>
      </c>
      <c r="I63" s="2" t="s">
        <v>56</v>
      </c>
      <c r="J63" s="2" t="s">
        <v>57</v>
      </c>
      <c r="K63" s="2" t="s">
        <v>81</v>
      </c>
      <c r="L63" s="2" t="s">
        <v>35</v>
      </c>
      <c r="M63" s="3">
        <v>813</v>
      </c>
      <c r="N63" s="3">
        <v>2134</v>
      </c>
      <c r="O63" s="2" t="s">
        <v>36</v>
      </c>
      <c r="P63" s="2" t="s">
        <v>82</v>
      </c>
      <c r="Q63" s="2" t="s">
        <v>38</v>
      </c>
      <c r="R63" s="2" t="s">
        <v>39</v>
      </c>
      <c r="S63" s="2" t="s">
        <v>40</v>
      </c>
      <c r="T63" s="2" t="s">
        <v>39</v>
      </c>
      <c r="U63" s="2" t="s">
        <v>41</v>
      </c>
      <c r="V63" s="2" t="s">
        <v>42</v>
      </c>
      <c r="W63" s="2"/>
      <c r="X63" s="2" t="s">
        <v>43</v>
      </c>
      <c r="Y63" s="2">
        <v>18</v>
      </c>
      <c r="Z63" s="5" t="s">
        <v>44</v>
      </c>
      <c r="AA63" s="45"/>
      <c r="AB63" s="45" t="s">
        <v>83</v>
      </c>
      <c r="AC63" s="46">
        <v>32</v>
      </c>
      <c r="AD63" s="45" t="s">
        <v>59</v>
      </c>
    </row>
    <row r="64" spans="1:30">
      <c r="A64" s="2" t="s">
        <v>177</v>
      </c>
      <c r="B64" s="2" t="s">
        <v>80</v>
      </c>
      <c r="C64" s="3">
        <v>215</v>
      </c>
      <c r="D64" s="2" t="s">
        <v>54</v>
      </c>
      <c r="E64" s="2" t="s">
        <v>174</v>
      </c>
      <c r="F64" s="2" t="s">
        <v>159</v>
      </c>
      <c r="G64" s="2" t="s">
        <v>31</v>
      </c>
      <c r="H64" s="2">
        <v>1</v>
      </c>
      <c r="I64" s="2" t="s">
        <v>56</v>
      </c>
      <c r="J64" s="2" t="s">
        <v>57</v>
      </c>
      <c r="K64" s="2" t="s">
        <v>81</v>
      </c>
      <c r="L64" s="2" t="s">
        <v>35</v>
      </c>
      <c r="M64" s="3">
        <v>813</v>
      </c>
      <c r="N64" s="3">
        <v>2134</v>
      </c>
      <c r="O64" s="2" t="s">
        <v>36</v>
      </c>
      <c r="P64" s="2" t="s">
        <v>82</v>
      </c>
      <c r="Q64" s="2" t="s">
        <v>38</v>
      </c>
      <c r="R64" s="2" t="s">
        <v>39</v>
      </c>
      <c r="S64" s="2" t="s">
        <v>40</v>
      </c>
      <c r="T64" s="2" t="s">
        <v>39</v>
      </c>
      <c r="U64" s="2" t="s">
        <v>41</v>
      </c>
      <c r="V64" s="2" t="s">
        <v>42</v>
      </c>
      <c r="W64" s="2"/>
      <c r="X64" s="2" t="s">
        <v>43</v>
      </c>
      <c r="Y64" s="2">
        <v>18</v>
      </c>
      <c r="Z64" s="5" t="s">
        <v>44</v>
      </c>
      <c r="AA64" s="45"/>
      <c r="AB64" s="45" t="s">
        <v>83</v>
      </c>
      <c r="AC64" s="46">
        <v>32</v>
      </c>
      <c r="AD64" s="45" t="s">
        <v>59</v>
      </c>
    </row>
    <row r="65" spans="1:30">
      <c r="A65" s="2" t="s">
        <v>178</v>
      </c>
      <c r="B65" s="2" t="s">
        <v>179</v>
      </c>
      <c r="C65" s="3">
        <v>216</v>
      </c>
      <c r="D65" s="2" t="s">
        <v>54</v>
      </c>
      <c r="E65" s="2" t="s">
        <v>157</v>
      </c>
      <c r="F65" s="2" t="s">
        <v>159</v>
      </c>
      <c r="G65" s="2" t="s">
        <v>31</v>
      </c>
      <c r="H65" s="2">
        <v>1</v>
      </c>
      <c r="I65" s="2" t="s">
        <v>32</v>
      </c>
      <c r="J65" s="2" t="s">
        <v>33</v>
      </c>
      <c r="K65" s="2" t="s">
        <v>34</v>
      </c>
      <c r="L65" s="2" t="s">
        <v>35</v>
      </c>
      <c r="M65" s="3">
        <v>914</v>
      </c>
      <c r="N65" s="3">
        <v>2134</v>
      </c>
      <c r="O65" s="2" t="s">
        <v>36</v>
      </c>
      <c r="P65" s="2" t="s">
        <v>37</v>
      </c>
      <c r="Q65" s="2" t="s">
        <v>38</v>
      </c>
      <c r="R65" s="2" t="s">
        <v>39</v>
      </c>
      <c r="S65" s="2" t="s">
        <v>40</v>
      </c>
      <c r="T65" s="2" t="s">
        <v>39</v>
      </c>
      <c r="U65" s="2" t="s">
        <v>41</v>
      </c>
      <c r="V65" s="2" t="s">
        <v>42</v>
      </c>
      <c r="W65" s="2"/>
      <c r="X65" s="2" t="s">
        <v>43</v>
      </c>
      <c r="Y65" s="2">
        <v>18</v>
      </c>
      <c r="Z65" s="5" t="s">
        <v>44</v>
      </c>
      <c r="AA65" s="45"/>
      <c r="AB65" s="45" t="s">
        <v>88</v>
      </c>
      <c r="AC65" s="46">
        <v>44</v>
      </c>
      <c r="AD65" s="45" t="s">
        <v>180</v>
      </c>
    </row>
    <row r="66" spans="1:30">
      <c r="A66" s="2" t="s">
        <v>181</v>
      </c>
      <c r="B66" s="2" t="s">
        <v>54</v>
      </c>
      <c r="C66" s="2" t="s">
        <v>157</v>
      </c>
      <c r="D66" s="2" t="s">
        <v>139</v>
      </c>
      <c r="E66" s="3">
        <v>217</v>
      </c>
      <c r="F66" s="2" t="s">
        <v>159</v>
      </c>
      <c r="G66" s="2" t="s">
        <v>31</v>
      </c>
      <c r="H66" s="2">
        <v>1</v>
      </c>
      <c r="I66" s="2" t="s">
        <v>32</v>
      </c>
      <c r="J66" s="2" t="s">
        <v>33</v>
      </c>
      <c r="K66" s="2" t="s">
        <v>34</v>
      </c>
      <c r="L66" s="2" t="s">
        <v>35</v>
      </c>
      <c r="M66" s="3">
        <v>914</v>
      </c>
      <c r="N66" s="3">
        <v>2134</v>
      </c>
      <c r="O66" s="2" t="s">
        <v>36</v>
      </c>
      <c r="P66" s="2" t="s">
        <v>82</v>
      </c>
      <c r="Q66" s="2" t="s">
        <v>38</v>
      </c>
      <c r="R66" s="2" t="s">
        <v>39</v>
      </c>
      <c r="S66" s="2" t="s">
        <v>40</v>
      </c>
      <c r="T66" s="2" t="s">
        <v>39</v>
      </c>
      <c r="U66" s="2" t="s">
        <v>41</v>
      </c>
      <c r="V66" s="2" t="s">
        <v>42</v>
      </c>
      <c r="W66" s="2"/>
      <c r="X66" s="2" t="s">
        <v>43</v>
      </c>
      <c r="Y66" s="2">
        <v>18</v>
      </c>
      <c r="Z66" s="5" t="s">
        <v>44</v>
      </c>
      <c r="AA66" s="2" t="s">
        <v>140</v>
      </c>
      <c r="AB66" s="45" t="s">
        <v>88</v>
      </c>
      <c r="AC66" s="46">
        <v>38</v>
      </c>
      <c r="AD66" s="2" t="s">
        <v>59</v>
      </c>
    </row>
    <row r="67" spans="1:30">
      <c r="A67" s="2" t="s">
        <v>182</v>
      </c>
      <c r="B67" s="2" t="s">
        <v>158</v>
      </c>
      <c r="C67" s="3">
        <v>218</v>
      </c>
      <c r="D67" s="2" t="s">
        <v>54</v>
      </c>
      <c r="E67" s="2" t="s">
        <v>157</v>
      </c>
      <c r="F67" s="2" t="s">
        <v>159</v>
      </c>
      <c r="G67" s="2" t="s">
        <v>31</v>
      </c>
      <c r="H67" s="2">
        <v>1</v>
      </c>
      <c r="I67" s="2" t="s">
        <v>64</v>
      </c>
      <c r="J67" s="2" t="s">
        <v>65</v>
      </c>
      <c r="K67" s="2" t="s">
        <v>34</v>
      </c>
      <c r="L67" s="2" t="s">
        <v>35</v>
      </c>
      <c r="M67" s="3">
        <v>914</v>
      </c>
      <c r="N67" s="3">
        <v>2134</v>
      </c>
      <c r="O67" s="2" t="s">
        <v>36</v>
      </c>
      <c r="P67" s="2" t="s">
        <v>37</v>
      </c>
      <c r="Q67" s="2" t="s">
        <v>38</v>
      </c>
      <c r="R67" s="2" t="s">
        <v>39</v>
      </c>
      <c r="S67" s="2" t="s">
        <v>40</v>
      </c>
      <c r="T67" s="2" t="s">
        <v>39</v>
      </c>
      <c r="U67" s="2" t="s">
        <v>41</v>
      </c>
      <c r="V67" s="2" t="s">
        <v>42</v>
      </c>
      <c r="W67" s="2"/>
      <c r="X67" s="2" t="s">
        <v>43</v>
      </c>
      <c r="Y67" s="2">
        <v>18</v>
      </c>
      <c r="Z67" s="5" t="s">
        <v>44</v>
      </c>
      <c r="AA67" s="45"/>
      <c r="AB67" s="45" t="s">
        <v>58</v>
      </c>
      <c r="AC67" s="46">
        <v>25</v>
      </c>
      <c r="AD67" s="45" t="s">
        <v>46</v>
      </c>
    </row>
    <row r="68" spans="1:30">
      <c r="A68" s="2" t="s">
        <v>183</v>
      </c>
      <c r="B68" s="2" t="s">
        <v>54</v>
      </c>
      <c r="C68" s="2" t="s">
        <v>157</v>
      </c>
      <c r="D68" s="2" t="s">
        <v>158</v>
      </c>
      <c r="E68" s="3">
        <v>219</v>
      </c>
      <c r="F68" s="2" t="s">
        <v>159</v>
      </c>
      <c r="G68" s="2" t="s">
        <v>31</v>
      </c>
      <c r="H68" s="2">
        <v>1</v>
      </c>
      <c r="I68" s="2" t="s">
        <v>64</v>
      </c>
      <c r="J68" s="2" t="s">
        <v>65</v>
      </c>
      <c r="K68" s="2" t="s">
        <v>34</v>
      </c>
      <c r="L68" s="2" t="s">
        <v>35</v>
      </c>
      <c r="M68" s="3">
        <v>914</v>
      </c>
      <c r="N68" s="3">
        <v>2134</v>
      </c>
      <c r="O68" s="2" t="s">
        <v>36</v>
      </c>
      <c r="P68" s="2" t="s">
        <v>37</v>
      </c>
      <c r="Q68" s="2" t="s">
        <v>38</v>
      </c>
      <c r="R68" s="2" t="s">
        <v>39</v>
      </c>
      <c r="S68" s="2" t="s">
        <v>40</v>
      </c>
      <c r="T68" s="2" t="s">
        <v>39</v>
      </c>
      <c r="U68" s="2" t="s">
        <v>41</v>
      </c>
      <c r="V68" s="2" t="s">
        <v>42</v>
      </c>
      <c r="W68" s="2"/>
      <c r="X68" s="2" t="s">
        <v>43</v>
      </c>
      <c r="Y68" s="2">
        <v>18</v>
      </c>
      <c r="Z68" s="5" t="s">
        <v>44</v>
      </c>
      <c r="AA68" s="45"/>
      <c r="AB68" s="45" t="s">
        <v>58</v>
      </c>
      <c r="AC68" s="46">
        <v>25</v>
      </c>
      <c r="AD68" s="45" t="s">
        <v>46</v>
      </c>
    </row>
    <row r="69" spans="1:30">
      <c r="A69" s="2" t="s">
        <v>184</v>
      </c>
      <c r="B69" s="2" t="s">
        <v>158</v>
      </c>
      <c r="C69" s="3">
        <v>220</v>
      </c>
      <c r="D69" s="2" t="s">
        <v>54</v>
      </c>
      <c r="E69" s="2" t="s">
        <v>157</v>
      </c>
      <c r="F69" s="2" t="s">
        <v>159</v>
      </c>
      <c r="G69" s="2" t="s">
        <v>31</v>
      </c>
      <c r="H69" s="2">
        <v>1</v>
      </c>
      <c r="I69" s="2" t="s">
        <v>64</v>
      </c>
      <c r="J69" s="2" t="s">
        <v>65</v>
      </c>
      <c r="K69" s="2" t="s">
        <v>34</v>
      </c>
      <c r="L69" s="2" t="s">
        <v>35</v>
      </c>
      <c r="M69" s="3">
        <v>914</v>
      </c>
      <c r="N69" s="3">
        <v>2134</v>
      </c>
      <c r="O69" s="2" t="s">
        <v>36</v>
      </c>
      <c r="P69" s="2" t="s">
        <v>37</v>
      </c>
      <c r="Q69" s="2" t="s">
        <v>38</v>
      </c>
      <c r="R69" s="2" t="s">
        <v>39</v>
      </c>
      <c r="S69" s="2" t="s">
        <v>40</v>
      </c>
      <c r="T69" s="2" t="s">
        <v>39</v>
      </c>
      <c r="U69" s="2" t="s">
        <v>41</v>
      </c>
      <c r="V69" s="2" t="s">
        <v>42</v>
      </c>
      <c r="W69" s="2"/>
      <c r="X69" s="2" t="s">
        <v>43</v>
      </c>
      <c r="Y69" s="2">
        <v>18</v>
      </c>
      <c r="Z69" s="5" t="s">
        <v>44</v>
      </c>
      <c r="AA69" s="45"/>
      <c r="AB69" s="45" t="s">
        <v>58</v>
      </c>
      <c r="AC69" s="46">
        <v>25</v>
      </c>
      <c r="AD69" s="45" t="s">
        <v>46</v>
      </c>
    </row>
    <row r="70" spans="1:30">
      <c r="A70" s="2" t="s">
        <v>185</v>
      </c>
      <c r="B70" s="2" t="s">
        <v>54</v>
      </c>
      <c r="C70" s="2" t="s">
        <v>157</v>
      </c>
      <c r="D70" s="2" t="s">
        <v>158</v>
      </c>
      <c r="E70" s="3">
        <v>221</v>
      </c>
      <c r="F70" s="2" t="s">
        <v>159</v>
      </c>
      <c r="G70" s="2" t="s">
        <v>31</v>
      </c>
      <c r="H70" s="2">
        <v>1</v>
      </c>
      <c r="I70" s="2" t="s">
        <v>64</v>
      </c>
      <c r="J70" s="2" t="s">
        <v>65</v>
      </c>
      <c r="K70" s="2" t="s">
        <v>34</v>
      </c>
      <c r="L70" s="2" t="s">
        <v>35</v>
      </c>
      <c r="M70" s="3">
        <v>914</v>
      </c>
      <c r="N70" s="3">
        <v>2134</v>
      </c>
      <c r="O70" s="2" t="s">
        <v>36</v>
      </c>
      <c r="P70" s="2" t="s">
        <v>37</v>
      </c>
      <c r="Q70" s="2" t="s">
        <v>38</v>
      </c>
      <c r="R70" s="2" t="s">
        <v>39</v>
      </c>
      <c r="S70" s="2" t="s">
        <v>40</v>
      </c>
      <c r="T70" s="2" t="s">
        <v>39</v>
      </c>
      <c r="U70" s="2" t="s">
        <v>41</v>
      </c>
      <c r="V70" s="2" t="s">
        <v>42</v>
      </c>
      <c r="W70" s="2"/>
      <c r="X70" s="2" t="s">
        <v>43</v>
      </c>
      <c r="Y70" s="2">
        <v>18</v>
      </c>
      <c r="Z70" s="5" t="s">
        <v>44</v>
      </c>
      <c r="AA70" s="45"/>
      <c r="AB70" s="45" t="s">
        <v>58</v>
      </c>
      <c r="AC70" s="46">
        <v>25</v>
      </c>
      <c r="AD70" s="45" t="s">
        <v>46</v>
      </c>
    </row>
    <row r="71" spans="1:30">
      <c r="A71" s="2" t="s">
        <v>186</v>
      </c>
      <c r="B71" s="2" t="s">
        <v>85</v>
      </c>
      <c r="C71" s="3">
        <v>222</v>
      </c>
      <c r="D71" s="2" t="s">
        <v>54</v>
      </c>
      <c r="E71" s="2" t="s">
        <v>187</v>
      </c>
      <c r="F71" s="2" t="s">
        <v>159</v>
      </c>
      <c r="G71" s="2" t="s">
        <v>31</v>
      </c>
      <c r="H71" s="2">
        <v>1</v>
      </c>
      <c r="I71" s="2" t="s">
        <v>56</v>
      </c>
      <c r="J71" s="2" t="s">
        <v>57</v>
      </c>
      <c r="K71" s="2" t="s">
        <v>81</v>
      </c>
      <c r="L71" s="2" t="s">
        <v>35</v>
      </c>
      <c r="M71" s="3">
        <v>813</v>
      </c>
      <c r="N71" s="3">
        <v>2134</v>
      </c>
      <c r="O71" s="2" t="s">
        <v>36</v>
      </c>
      <c r="P71" s="2" t="s">
        <v>82</v>
      </c>
      <c r="Q71" s="2" t="s">
        <v>38</v>
      </c>
      <c r="R71" s="2" t="s">
        <v>39</v>
      </c>
      <c r="S71" s="2" t="s">
        <v>40</v>
      </c>
      <c r="T71" s="2" t="s">
        <v>39</v>
      </c>
      <c r="U71" s="2" t="s">
        <v>41</v>
      </c>
      <c r="V71" s="2" t="s">
        <v>42</v>
      </c>
      <c r="W71" s="2"/>
      <c r="X71" s="2" t="s">
        <v>43</v>
      </c>
      <c r="Y71" s="2">
        <v>18</v>
      </c>
      <c r="Z71" s="5" t="s">
        <v>44</v>
      </c>
      <c r="AA71" s="45"/>
      <c r="AB71" s="45" t="s">
        <v>83</v>
      </c>
      <c r="AC71" s="46">
        <v>32</v>
      </c>
      <c r="AD71" s="45" t="s">
        <v>59</v>
      </c>
    </row>
    <row r="72" spans="1:30">
      <c r="A72" s="2" t="s">
        <v>188</v>
      </c>
      <c r="B72" s="2" t="s">
        <v>85</v>
      </c>
      <c r="C72" s="3">
        <v>223</v>
      </c>
      <c r="D72" s="2" t="s">
        <v>54</v>
      </c>
      <c r="E72" s="2" t="s">
        <v>187</v>
      </c>
      <c r="F72" s="2" t="s">
        <v>159</v>
      </c>
      <c r="G72" s="2" t="s">
        <v>31</v>
      </c>
      <c r="H72" s="2">
        <v>1</v>
      </c>
      <c r="I72" s="2" t="s">
        <v>56</v>
      </c>
      <c r="J72" s="2" t="s">
        <v>57</v>
      </c>
      <c r="K72" s="2" t="s">
        <v>81</v>
      </c>
      <c r="L72" s="2" t="s">
        <v>35</v>
      </c>
      <c r="M72" s="3">
        <v>813</v>
      </c>
      <c r="N72" s="3">
        <v>2134</v>
      </c>
      <c r="O72" s="2" t="s">
        <v>36</v>
      </c>
      <c r="P72" s="2" t="s">
        <v>82</v>
      </c>
      <c r="Q72" s="2" t="s">
        <v>38</v>
      </c>
      <c r="R72" s="2" t="s">
        <v>39</v>
      </c>
      <c r="S72" s="2" t="s">
        <v>40</v>
      </c>
      <c r="T72" s="2" t="s">
        <v>39</v>
      </c>
      <c r="U72" s="2" t="s">
        <v>41</v>
      </c>
      <c r="V72" s="2" t="s">
        <v>42</v>
      </c>
      <c r="W72" s="2"/>
      <c r="X72" s="2" t="s">
        <v>43</v>
      </c>
      <c r="Y72" s="2">
        <v>18</v>
      </c>
      <c r="Z72" s="5" t="s">
        <v>44</v>
      </c>
      <c r="AA72" s="45"/>
      <c r="AB72" s="45" t="s">
        <v>83</v>
      </c>
      <c r="AC72" s="46">
        <v>32</v>
      </c>
      <c r="AD72" s="45" t="s">
        <v>59</v>
      </c>
    </row>
    <row r="73" spans="1:30">
      <c r="A73" s="2" t="s">
        <v>189</v>
      </c>
      <c r="B73" s="2" t="s">
        <v>85</v>
      </c>
      <c r="C73" s="3">
        <v>224</v>
      </c>
      <c r="D73" s="2" t="s">
        <v>54</v>
      </c>
      <c r="E73" s="2" t="s">
        <v>187</v>
      </c>
      <c r="F73" s="2" t="s">
        <v>159</v>
      </c>
      <c r="G73" s="2" t="s">
        <v>31</v>
      </c>
      <c r="H73" s="2">
        <v>1</v>
      </c>
      <c r="I73" s="2" t="s">
        <v>56</v>
      </c>
      <c r="J73" s="2" t="s">
        <v>57</v>
      </c>
      <c r="K73" s="2" t="s">
        <v>81</v>
      </c>
      <c r="L73" s="2" t="s">
        <v>35</v>
      </c>
      <c r="M73" s="3">
        <v>813</v>
      </c>
      <c r="N73" s="3">
        <v>2134</v>
      </c>
      <c r="O73" s="2" t="s">
        <v>36</v>
      </c>
      <c r="P73" s="2" t="s">
        <v>82</v>
      </c>
      <c r="Q73" s="2" t="s">
        <v>38</v>
      </c>
      <c r="R73" s="2" t="s">
        <v>39</v>
      </c>
      <c r="S73" s="2" t="s">
        <v>40</v>
      </c>
      <c r="T73" s="2" t="s">
        <v>39</v>
      </c>
      <c r="U73" s="2" t="s">
        <v>41</v>
      </c>
      <c r="V73" s="2" t="s">
        <v>42</v>
      </c>
      <c r="W73" s="2"/>
      <c r="X73" s="2" t="s">
        <v>43</v>
      </c>
      <c r="Y73" s="2">
        <v>18</v>
      </c>
      <c r="Z73" s="5" t="s">
        <v>44</v>
      </c>
      <c r="AA73" s="45"/>
      <c r="AB73" s="45" t="s">
        <v>83</v>
      </c>
      <c r="AC73" s="46">
        <v>32</v>
      </c>
      <c r="AD73" s="45" t="s">
        <v>59</v>
      </c>
    </row>
    <row r="74" spans="1:30">
      <c r="A74" s="2" t="s">
        <v>190</v>
      </c>
      <c r="B74" s="2" t="s">
        <v>87</v>
      </c>
      <c r="C74" s="3">
        <v>225</v>
      </c>
      <c r="D74" s="2" t="s">
        <v>54</v>
      </c>
      <c r="E74" s="2" t="s">
        <v>187</v>
      </c>
      <c r="F74" s="2" t="s">
        <v>159</v>
      </c>
      <c r="G74" s="2" t="s">
        <v>31</v>
      </c>
      <c r="H74" s="2">
        <v>1</v>
      </c>
      <c r="I74" s="2" t="s">
        <v>56</v>
      </c>
      <c r="J74" s="2" t="s">
        <v>57</v>
      </c>
      <c r="K74" s="2" t="s">
        <v>34</v>
      </c>
      <c r="L74" s="2" t="s">
        <v>35</v>
      </c>
      <c r="M74" s="3">
        <v>914</v>
      </c>
      <c r="N74" s="3">
        <v>2134</v>
      </c>
      <c r="O74" s="2" t="s">
        <v>36</v>
      </c>
      <c r="P74" s="2" t="s">
        <v>82</v>
      </c>
      <c r="Q74" s="2" t="s">
        <v>38</v>
      </c>
      <c r="R74" s="2" t="s">
        <v>39</v>
      </c>
      <c r="S74" s="2" t="s">
        <v>40</v>
      </c>
      <c r="T74" s="2" t="s">
        <v>39</v>
      </c>
      <c r="U74" s="2" t="s">
        <v>41</v>
      </c>
      <c r="V74" s="2" t="s">
        <v>42</v>
      </c>
      <c r="W74" s="2"/>
      <c r="X74" s="2" t="s">
        <v>43</v>
      </c>
      <c r="Y74" s="2">
        <v>18</v>
      </c>
      <c r="Z74" s="5" t="s">
        <v>44</v>
      </c>
      <c r="AA74" s="45"/>
      <c r="AB74" s="45" t="s">
        <v>88</v>
      </c>
      <c r="AC74" s="46">
        <v>14</v>
      </c>
      <c r="AD74" s="45" t="s">
        <v>89</v>
      </c>
    </row>
    <row r="75" spans="1:30">
      <c r="A75" s="2" t="s">
        <v>191</v>
      </c>
      <c r="B75" s="2" t="s">
        <v>172</v>
      </c>
      <c r="C75" s="3">
        <v>226</v>
      </c>
      <c r="D75" s="2" t="s">
        <v>54</v>
      </c>
      <c r="E75" s="2" t="s">
        <v>157</v>
      </c>
      <c r="F75" s="2" t="s">
        <v>159</v>
      </c>
      <c r="G75" s="2" t="s">
        <v>31</v>
      </c>
      <c r="H75" s="2">
        <v>1</v>
      </c>
      <c r="I75" s="2" t="s">
        <v>32</v>
      </c>
      <c r="J75" s="2" t="s">
        <v>33</v>
      </c>
      <c r="K75" s="2" t="s">
        <v>34</v>
      </c>
      <c r="L75" s="2" t="s">
        <v>35</v>
      </c>
      <c r="M75" s="3">
        <v>914</v>
      </c>
      <c r="N75" s="3">
        <v>2134</v>
      </c>
      <c r="O75" s="2" t="s">
        <v>36</v>
      </c>
      <c r="P75" s="2" t="s">
        <v>72</v>
      </c>
      <c r="Q75" s="2" t="s">
        <v>38</v>
      </c>
      <c r="R75" s="2" t="s">
        <v>39</v>
      </c>
      <c r="S75" s="2" t="s">
        <v>40</v>
      </c>
      <c r="T75" s="2" t="s">
        <v>39</v>
      </c>
      <c r="U75" s="2" t="s">
        <v>41</v>
      </c>
      <c r="V75" s="2" t="s">
        <v>42</v>
      </c>
      <c r="W75" s="2" t="s">
        <v>72</v>
      </c>
      <c r="X75" s="2" t="s">
        <v>43</v>
      </c>
      <c r="Y75" s="2">
        <v>18</v>
      </c>
      <c r="Z75" s="5" t="s">
        <v>44</v>
      </c>
      <c r="AA75" s="45"/>
      <c r="AB75" s="45" t="s">
        <v>58</v>
      </c>
      <c r="AC75" s="46">
        <v>24</v>
      </c>
      <c r="AD75" s="45" t="s">
        <v>59</v>
      </c>
    </row>
    <row r="76" spans="1:30">
      <c r="A76" s="2" t="s">
        <v>192</v>
      </c>
      <c r="B76" s="2" t="s">
        <v>54</v>
      </c>
      <c r="C76" s="2" t="s">
        <v>193</v>
      </c>
      <c r="D76" s="2" t="s">
        <v>158</v>
      </c>
      <c r="E76" s="3">
        <v>301</v>
      </c>
      <c r="F76" s="2" t="s">
        <v>194</v>
      </c>
      <c r="G76" s="2" t="s">
        <v>31</v>
      </c>
      <c r="H76" s="2">
        <v>1</v>
      </c>
      <c r="I76" s="2" t="s">
        <v>64</v>
      </c>
      <c r="J76" s="2" t="s">
        <v>65</v>
      </c>
      <c r="K76" s="2" t="s">
        <v>34</v>
      </c>
      <c r="L76" s="2" t="s">
        <v>35</v>
      </c>
      <c r="M76" s="3">
        <v>914</v>
      </c>
      <c r="N76" s="3">
        <v>2134</v>
      </c>
      <c r="O76" s="2" t="s">
        <v>36</v>
      </c>
      <c r="P76" s="2" t="s">
        <v>37</v>
      </c>
      <c r="Q76" s="2" t="s">
        <v>38</v>
      </c>
      <c r="R76" s="2" t="s">
        <v>39</v>
      </c>
      <c r="S76" s="2" t="s">
        <v>40</v>
      </c>
      <c r="T76" s="2" t="s">
        <v>39</v>
      </c>
      <c r="U76" s="2" t="s">
        <v>41</v>
      </c>
      <c r="V76" s="2" t="s">
        <v>42</v>
      </c>
      <c r="W76" s="2"/>
      <c r="X76" s="2" t="s">
        <v>43</v>
      </c>
      <c r="Y76" s="2">
        <v>18</v>
      </c>
      <c r="Z76" s="5" t="s">
        <v>44</v>
      </c>
      <c r="AA76" s="45"/>
      <c r="AB76" s="45" t="s">
        <v>58</v>
      </c>
      <c r="AC76" s="46">
        <v>24</v>
      </c>
      <c r="AD76" s="45" t="s">
        <v>59</v>
      </c>
    </row>
    <row r="77" spans="1:30">
      <c r="A77" s="2" t="s">
        <v>195</v>
      </c>
      <c r="B77" s="2" t="s">
        <v>158</v>
      </c>
      <c r="C77" s="3">
        <v>302</v>
      </c>
      <c r="D77" s="2" t="s">
        <v>54</v>
      </c>
      <c r="E77" s="2" t="s">
        <v>193</v>
      </c>
      <c r="F77" s="2" t="s">
        <v>194</v>
      </c>
      <c r="G77" s="2" t="s">
        <v>31</v>
      </c>
      <c r="H77" s="2">
        <v>1</v>
      </c>
      <c r="I77" s="2" t="s">
        <v>64</v>
      </c>
      <c r="J77" s="2" t="s">
        <v>65</v>
      </c>
      <c r="K77" s="2" t="s">
        <v>34</v>
      </c>
      <c r="L77" s="2" t="s">
        <v>35</v>
      </c>
      <c r="M77" s="3">
        <v>914</v>
      </c>
      <c r="N77" s="3">
        <v>2134</v>
      </c>
      <c r="O77" s="2" t="s">
        <v>36</v>
      </c>
      <c r="P77" s="2" t="s">
        <v>37</v>
      </c>
      <c r="Q77" s="2" t="s">
        <v>38</v>
      </c>
      <c r="R77" s="2" t="s">
        <v>39</v>
      </c>
      <c r="S77" s="2" t="s">
        <v>40</v>
      </c>
      <c r="T77" s="2" t="s">
        <v>39</v>
      </c>
      <c r="U77" s="2" t="s">
        <v>41</v>
      </c>
      <c r="V77" s="2" t="s">
        <v>42</v>
      </c>
      <c r="W77" s="2"/>
      <c r="X77" s="2" t="s">
        <v>43</v>
      </c>
      <c r="Y77" s="2">
        <v>18</v>
      </c>
      <c r="Z77" s="5" t="s">
        <v>44</v>
      </c>
      <c r="AA77" s="45"/>
      <c r="AB77" s="45" t="s">
        <v>58</v>
      </c>
      <c r="AC77" s="46">
        <v>25</v>
      </c>
      <c r="AD77" s="45" t="s">
        <v>46</v>
      </c>
    </row>
    <row r="78" spans="1:30">
      <c r="A78" s="2" t="s">
        <v>196</v>
      </c>
      <c r="B78" s="2" t="s">
        <v>54</v>
      </c>
      <c r="C78" s="2" t="s">
        <v>193</v>
      </c>
      <c r="D78" s="2" t="s">
        <v>158</v>
      </c>
      <c r="E78" s="3">
        <v>303</v>
      </c>
      <c r="F78" s="2" t="s">
        <v>194</v>
      </c>
      <c r="G78" s="2" t="s">
        <v>31</v>
      </c>
      <c r="H78" s="2">
        <v>1</v>
      </c>
      <c r="I78" s="2" t="s">
        <v>64</v>
      </c>
      <c r="J78" s="2" t="s">
        <v>65</v>
      </c>
      <c r="K78" s="2" t="s">
        <v>34</v>
      </c>
      <c r="L78" s="2" t="s">
        <v>35</v>
      </c>
      <c r="M78" s="3">
        <v>914</v>
      </c>
      <c r="N78" s="3">
        <v>2134</v>
      </c>
      <c r="O78" s="2" t="s">
        <v>36</v>
      </c>
      <c r="P78" s="2" t="s">
        <v>37</v>
      </c>
      <c r="Q78" s="2" t="s">
        <v>38</v>
      </c>
      <c r="R78" s="2" t="s">
        <v>39</v>
      </c>
      <c r="S78" s="2" t="s">
        <v>40</v>
      </c>
      <c r="T78" s="2" t="s">
        <v>39</v>
      </c>
      <c r="U78" s="2" t="s">
        <v>41</v>
      </c>
      <c r="V78" s="2" t="s">
        <v>42</v>
      </c>
      <c r="W78" s="2"/>
      <c r="X78" s="2" t="s">
        <v>43</v>
      </c>
      <c r="Y78" s="2">
        <v>18</v>
      </c>
      <c r="Z78" s="5" t="s">
        <v>44</v>
      </c>
      <c r="AA78" s="45"/>
      <c r="AB78" s="45" t="s">
        <v>58</v>
      </c>
      <c r="AC78" s="46">
        <v>25</v>
      </c>
      <c r="AD78" s="45" t="s">
        <v>46</v>
      </c>
    </row>
    <row r="79" spans="1:30">
      <c r="A79" s="2" t="s">
        <v>197</v>
      </c>
      <c r="B79" s="2" t="s">
        <v>54</v>
      </c>
      <c r="C79" s="2" t="s">
        <v>193</v>
      </c>
      <c r="D79" s="2" t="s">
        <v>198</v>
      </c>
      <c r="E79" s="3">
        <v>304</v>
      </c>
      <c r="F79" s="2" t="s">
        <v>194</v>
      </c>
      <c r="G79" s="2" t="s">
        <v>31</v>
      </c>
      <c r="H79" s="2">
        <v>1</v>
      </c>
      <c r="I79" s="2" t="s">
        <v>32</v>
      </c>
      <c r="J79" s="2" t="s">
        <v>33</v>
      </c>
      <c r="K79" s="2" t="s">
        <v>34</v>
      </c>
      <c r="L79" s="2" t="s">
        <v>35</v>
      </c>
      <c r="M79" s="3">
        <v>914</v>
      </c>
      <c r="N79" s="3">
        <v>2134</v>
      </c>
      <c r="O79" s="2" t="s">
        <v>36</v>
      </c>
      <c r="P79" s="2" t="s">
        <v>72</v>
      </c>
      <c r="Q79" s="2" t="s">
        <v>38</v>
      </c>
      <c r="R79" s="2" t="s">
        <v>39</v>
      </c>
      <c r="S79" s="2" t="s">
        <v>40</v>
      </c>
      <c r="T79" s="2" t="s">
        <v>39</v>
      </c>
      <c r="U79" s="2" t="s">
        <v>41</v>
      </c>
      <c r="V79" s="2" t="s">
        <v>42</v>
      </c>
      <c r="W79" s="2" t="s">
        <v>72</v>
      </c>
      <c r="X79" s="2" t="s">
        <v>43</v>
      </c>
      <c r="Y79" s="2">
        <v>18</v>
      </c>
      <c r="Z79" s="5" t="s">
        <v>44</v>
      </c>
      <c r="AA79" s="45"/>
      <c r="AB79" s="45" t="s">
        <v>58</v>
      </c>
      <c r="AC79" s="46">
        <v>24</v>
      </c>
      <c r="AD79" s="45" t="s">
        <v>59</v>
      </c>
    </row>
    <row r="80" spans="1:30">
      <c r="A80" s="2" t="s">
        <v>199</v>
      </c>
      <c r="B80" s="2" t="s">
        <v>54</v>
      </c>
      <c r="C80" s="2" t="s">
        <v>193</v>
      </c>
      <c r="D80" s="2" t="s">
        <v>158</v>
      </c>
      <c r="E80" s="3">
        <v>305</v>
      </c>
      <c r="F80" s="2" t="s">
        <v>194</v>
      </c>
      <c r="G80" s="2" t="s">
        <v>31</v>
      </c>
      <c r="H80" s="2">
        <v>1</v>
      </c>
      <c r="I80" s="2" t="s">
        <v>64</v>
      </c>
      <c r="J80" s="2" t="s">
        <v>65</v>
      </c>
      <c r="K80" s="2" t="s">
        <v>34</v>
      </c>
      <c r="L80" s="2" t="s">
        <v>35</v>
      </c>
      <c r="M80" s="3">
        <v>914</v>
      </c>
      <c r="N80" s="3">
        <v>2134</v>
      </c>
      <c r="O80" s="2" t="s">
        <v>36</v>
      </c>
      <c r="P80" s="2" t="s">
        <v>37</v>
      </c>
      <c r="Q80" s="2" t="s">
        <v>38</v>
      </c>
      <c r="R80" s="2" t="s">
        <v>39</v>
      </c>
      <c r="S80" s="2" t="s">
        <v>40</v>
      </c>
      <c r="T80" s="2" t="s">
        <v>39</v>
      </c>
      <c r="U80" s="2" t="s">
        <v>41</v>
      </c>
      <c r="V80" s="2" t="s">
        <v>42</v>
      </c>
      <c r="W80" s="2"/>
      <c r="X80" s="2" t="s">
        <v>43</v>
      </c>
      <c r="Y80" s="2">
        <v>18</v>
      </c>
      <c r="Z80" s="5" t="s">
        <v>44</v>
      </c>
      <c r="AA80" s="45"/>
      <c r="AB80" s="45" t="s">
        <v>58</v>
      </c>
      <c r="AC80" s="46">
        <v>25</v>
      </c>
      <c r="AD80" s="45" t="s">
        <v>46</v>
      </c>
    </row>
    <row r="81" spans="1:30">
      <c r="A81" s="2" t="s">
        <v>200</v>
      </c>
      <c r="B81" s="2" t="s">
        <v>158</v>
      </c>
      <c r="C81" s="3">
        <v>306</v>
      </c>
      <c r="D81" s="2" t="s">
        <v>54</v>
      </c>
      <c r="E81" s="2" t="s">
        <v>193</v>
      </c>
      <c r="F81" s="2" t="s">
        <v>194</v>
      </c>
      <c r="G81" s="2" t="s">
        <v>31</v>
      </c>
      <c r="H81" s="2">
        <v>1</v>
      </c>
      <c r="I81" s="2" t="s">
        <v>64</v>
      </c>
      <c r="J81" s="2" t="s">
        <v>65</v>
      </c>
      <c r="K81" s="2" t="s">
        <v>34</v>
      </c>
      <c r="L81" s="2" t="s">
        <v>35</v>
      </c>
      <c r="M81" s="3">
        <v>914</v>
      </c>
      <c r="N81" s="3">
        <v>2134</v>
      </c>
      <c r="O81" s="2" t="s">
        <v>36</v>
      </c>
      <c r="P81" s="2" t="s">
        <v>37</v>
      </c>
      <c r="Q81" s="2" t="s">
        <v>38</v>
      </c>
      <c r="R81" s="2" t="s">
        <v>39</v>
      </c>
      <c r="S81" s="2" t="s">
        <v>40</v>
      </c>
      <c r="T81" s="2" t="s">
        <v>39</v>
      </c>
      <c r="U81" s="2" t="s">
        <v>41</v>
      </c>
      <c r="V81" s="2" t="s">
        <v>42</v>
      </c>
      <c r="W81" s="2"/>
      <c r="X81" s="2" t="s">
        <v>43</v>
      </c>
      <c r="Y81" s="2">
        <v>18</v>
      </c>
      <c r="Z81" s="5" t="s">
        <v>44</v>
      </c>
      <c r="AA81" s="45"/>
      <c r="AB81" s="45" t="s">
        <v>58</v>
      </c>
      <c r="AC81" s="46">
        <v>25</v>
      </c>
      <c r="AD81" s="45" t="s">
        <v>46</v>
      </c>
    </row>
    <row r="82" spans="1:30">
      <c r="A82" s="2" t="s">
        <v>201</v>
      </c>
      <c r="B82" s="2" t="s">
        <v>54</v>
      </c>
      <c r="C82" s="2" t="s">
        <v>193</v>
      </c>
      <c r="D82" s="2" t="s">
        <v>158</v>
      </c>
      <c r="E82" s="3">
        <v>307</v>
      </c>
      <c r="F82" s="2" t="s">
        <v>194</v>
      </c>
      <c r="G82" s="2" t="s">
        <v>31</v>
      </c>
      <c r="H82" s="2">
        <v>1</v>
      </c>
      <c r="I82" s="2" t="s">
        <v>64</v>
      </c>
      <c r="J82" s="2" t="s">
        <v>65</v>
      </c>
      <c r="K82" s="2" t="s">
        <v>34</v>
      </c>
      <c r="L82" s="2" t="s">
        <v>35</v>
      </c>
      <c r="M82" s="3">
        <v>914</v>
      </c>
      <c r="N82" s="3">
        <v>2134</v>
      </c>
      <c r="O82" s="2" t="s">
        <v>36</v>
      </c>
      <c r="P82" s="2" t="s">
        <v>37</v>
      </c>
      <c r="Q82" s="2" t="s">
        <v>38</v>
      </c>
      <c r="R82" s="2" t="s">
        <v>39</v>
      </c>
      <c r="S82" s="2" t="s">
        <v>40</v>
      </c>
      <c r="T82" s="2" t="s">
        <v>39</v>
      </c>
      <c r="U82" s="2" t="s">
        <v>41</v>
      </c>
      <c r="V82" s="2" t="s">
        <v>42</v>
      </c>
      <c r="W82" s="2"/>
      <c r="X82" s="2" t="s">
        <v>43</v>
      </c>
      <c r="Y82" s="2">
        <v>18</v>
      </c>
      <c r="Z82" s="5" t="s">
        <v>44</v>
      </c>
      <c r="AA82" s="45"/>
      <c r="AB82" s="45" t="s">
        <v>58</v>
      </c>
      <c r="AC82" s="46">
        <v>25</v>
      </c>
      <c r="AD82" s="45" t="s">
        <v>46</v>
      </c>
    </row>
    <row r="83" spans="1:30">
      <c r="A83" s="2" t="s">
        <v>202</v>
      </c>
      <c r="B83" s="2" t="s">
        <v>54</v>
      </c>
      <c r="C83" s="2" t="s">
        <v>193</v>
      </c>
      <c r="D83" s="2" t="s">
        <v>158</v>
      </c>
      <c r="E83" s="3">
        <v>308</v>
      </c>
      <c r="F83" s="2" t="s">
        <v>194</v>
      </c>
      <c r="G83" s="2" t="s">
        <v>31</v>
      </c>
      <c r="H83" s="2">
        <v>1</v>
      </c>
      <c r="I83" s="2" t="s">
        <v>64</v>
      </c>
      <c r="J83" s="2" t="s">
        <v>65</v>
      </c>
      <c r="K83" s="2" t="s">
        <v>34</v>
      </c>
      <c r="L83" s="2" t="s">
        <v>35</v>
      </c>
      <c r="M83" s="3">
        <v>914</v>
      </c>
      <c r="N83" s="3">
        <v>2134</v>
      </c>
      <c r="O83" s="2" t="s">
        <v>36</v>
      </c>
      <c r="P83" s="2" t="s">
        <v>37</v>
      </c>
      <c r="Q83" s="2" t="s">
        <v>38</v>
      </c>
      <c r="R83" s="2" t="s">
        <v>39</v>
      </c>
      <c r="S83" s="2" t="s">
        <v>40</v>
      </c>
      <c r="T83" s="2" t="s">
        <v>39</v>
      </c>
      <c r="U83" s="2" t="s">
        <v>41</v>
      </c>
      <c r="V83" s="2" t="s">
        <v>42</v>
      </c>
      <c r="W83" s="2"/>
      <c r="X83" s="2" t="s">
        <v>43</v>
      </c>
      <c r="Y83" s="2">
        <v>18</v>
      </c>
      <c r="Z83" s="5" t="s">
        <v>44</v>
      </c>
      <c r="AA83" s="45"/>
      <c r="AB83" s="45" t="s">
        <v>58</v>
      </c>
      <c r="AC83" s="46">
        <v>25</v>
      </c>
      <c r="AD83" s="45" t="s">
        <v>46</v>
      </c>
    </row>
    <row r="84" spans="1:30">
      <c r="A84" s="2" t="s">
        <v>203</v>
      </c>
      <c r="B84" s="2" t="s">
        <v>158</v>
      </c>
      <c r="C84" s="3">
        <v>309</v>
      </c>
      <c r="D84" s="2" t="s">
        <v>54</v>
      </c>
      <c r="E84" s="2" t="s">
        <v>193</v>
      </c>
      <c r="F84" s="2" t="s">
        <v>194</v>
      </c>
      <c r="G84" s="2" t="s">
        <v>31</v>
      </c>
      <c r="H84" s="2">
        <v>1</v>
      </c>
      <c r="I84" s="2" t="s">
        <v>64</v>
      </c>
      <c r="J84" s="2" t="s">
        <v>65</v>
      </c>
      <c r="K84" s="2" t="s">
        <v>34</v>
      </c>
      <c r="L84" s="2" t="s">
        <v>35</v>
      </c>
      <c r="M84" s="3">
        <v>914</v>
      </c>
      <c r="N84" s="3">
        <v>2134</v>
      </c>
      <c r="O84" s="2" t="s">
        <v>36</v>
      </c>
      <c r="P84" s="2" t="s">
        <v>37</v>
      </c>
      <c r="Q84" s="2" t="s">
        <v>38</v>
      </c>
      <c r="R84" s="2" t="s">
        <v>39</v>
      </c>
      <c r="S84" s="2" t="s">
        <v>40</v>
      </c>
      <c r="T84" s="2" t="s">
        <v>39</v>
      </c>
      <c r="U84" s="2" t="s">
        <v>41</v>
      </c>
      <c r="V84" s="2" t="s">
        <v>42</v>
      </c>
      <c r="W84" s="2"/>
      <c r="X84" s="2" t="s">
        <v>43</v>
      </c>
      <c r="Y84" s="2">
        <v>18</v>
      </c>
      <c r="Z84" s="5" t="s">
        <v>44</v>
      </c>
      <c r="AA84" s="45"/>
      <c r="AB84" s="45" t="s">
        <v>58</v>
      </c>
      <c r="AC84" s="46">
        <v>25</v>
      </c>
      <c r="AD84" s="45" t="s">
        <v>46</v>
      </c>
    </row>
    <row r="85" spans="1:30">
      <c r="A85" s="2" t="s">
        <v>204</v>
      </c>
      <c r="B85" s="2" t="s">
        <v>158</v>
      </c>
      <c r="C85" s="3">
        <v>310</v>
      </c>
      <c r="D85" s="2" t="s">
        <v>54</v>
      </c>
      <c r="E85" s="2" t="s">
        <v>193</v>
      </c>
      <c r="F85" s="2" t="s">
        <v>194</v>
      </c>
      <c r="G85" s="2" t="s">
        <v>31</v>
      </c>
      <c r="H85" s="2">
        <v>1</v>
      </c>
      <c r="I85" s="2" t="s">
        <v>64</v>
      </c>
      <c r="J85" s="2" t="s">
        <v>65</v>
      </c>
      <c r="K85" s="2" t="s">
        <v>34</v>
      </c>
      <c r="L85" s="2" t="s">
        <v>35</v>
      </c>
      <c r="M85" s="3">
        <v>914</v>
      </c>
      <c r="N85" s="3">
        <v>2134</v>
      </c>
      <c r="O85" s="2" t="s">
        <v>36</v>
      </c>
      <c r="P85" s="2" t="s">
        <v>37</v>
      </c>
      <c r="Q85" s="2" t="s">
        <v>38</v>
      </c>
      <c r="R85" s="2" t="s">
        <v>39</v>
      </c>
      <c r="S85" s="2" t="s">
        <v>40</v>
      </c>
      <c r="T85" s="2" t="s">
        <v>39</v>
      </c>
      <c r="U85" s="2" t="s">
        <v>41</v>
      </c>
      <c r="V85" s="2" t="s">
        <v>42</v>
      </c>
      <c r="W85" s="2"/>
      <c r="X85" s="2" t="s">
        <v>43</v>
      </c>
      <c r="Y85" s="2">
        <v>18</v>
      </c>
      <c r="Z85" s="5" t="s">
        <v>44</v>
      </c>
      <c r="AA85" s="45"/>
      <c r="AB85" s="45" t="s">
        <v>58</v>
      </c>
      <c r="AC85" s="46">
        <v>25</v>
      </c>
      <c r="AD85" s="45" t="s">
        <v>46</v>
      </c>
    </row>
    <row r="86" spans="1:30">
      <c r="A86" s="2" t="s">
        <v>205</v>
      </c>
      <c r="B86" s="2" t="s">
        <v>54</v>
      </c>
      <c r="C86" s="2" t="s">
        <v>193</v>
      </c>
      <c r="D86" s="2" t="s">
        <v>172</v>
      </c>
      <c r="E86" s="3">
        <v>311</v>
      </c>
      <c r="F86" s="2" t="s">
        <v>194</v>
      </c>
      <c r="G86" s="2" t="s">
        <v>31</v>
      </c>
      <c r="H86" s="2">
        <v>1</v>
      </c>
      <c r="I86" s="2" t="s">
        <v>32</v>
      </c>
      <c r="J86" s="2" t="s">
        <v>33</v>
      </c>
      <c r="K86" s="2" t="s">
        <v>34</v>
      </c>
      <c r="L86" s="2" t="s">
        <v>35</v>
      </c>
      <c r="M86" s="3">
        <v>914</v>
      </c>
      <c r="N86" s="3">
        <v>2134</v>
      </c>
      <c r="O86" s="2" t="s">
        <v>36</v>
      </c>
      <c r="P86" s="2" t="s">
        <v>72</v>
      </c>
      <c r="Q86" s="2" t="s">
        <v>38</v>
      </c>
      <c r="R86" s="2" t="s">
        <v>39</v>
      </c>
      <c r="S86" s="2" t="s">
        <v>40</v>
      </c>
      <c r="T86" s="2" t="s">
        <v>39</v>
      </c>
      <c r="U86" s="2" t="s">
        <v>41</v>
      </c>
      <c r="V86" s="2" t="s">
        <v>42</v>
      </c>
      <c r="W86" s="2" t="s">
        <v>72</v>
      </c>
      <c r="X86" s="2" t="s">
        <v>43</v>
      </c>
      <c r="Y86" s="2">
        <v>18</v>
      </c>
      <c r="Z86" s="5" t="s">
        <v>44</v>
      </c>
      <c r="AA86" s="45"/>
      <c r="AB86" s="45" t="s">
        <v>58</v>
      </c>
      <c r="AC86" s="46">
        <v>24</v>
      </c>
      <c r="AD86" s="45" t="s">
        <v>59</v>
      </c>
    </row>
    <row r="87" spans="1:30">
      <c r="A87" s="2" t="s">
        <v>206</v>
      </c>
      <c r="B87" s="2" t="s">
        <v>54</v>
      </c>
      <c r="C87" s="2" t="s">
        <v>207</v>
      </c>
      <c r="D87" s="2" t="s">
        <v>87</v>
      </c>
      <c r="E87" s="3">
        <v>312</v>
      </c>
      <c r="F87" s="2" t="s">
        <v>194</v>
      </c>
      <c r="G87" s="2" t="s">
        <v>31</v>
      </c>
      <c r="H87" s="2">
        <v>1</v>
      </c>
      <c r="I87" s="2" t="s">
        <v>56</v>
      </c>
      <c r="J87" s="2" t="s">
        <v>57</v>
      </c>
      <c r="K87" s="2" t="s">
        <v>34</v>
      </c>
      <c r="L87" s="2" t="s">
        <v>35</v>
      </c>
      <c r="M87" s="3">
        <v>914</v>
      </c>
      <c r="N87" s="3">
        <v>2134</v>
      </c>
      <c r="O87" s="2" t="s">
        <v>36</v>
      </c>
      <c r="P87" s="2" t="s">
        <v>82</v>
      </c>
      <c r="Q87" s="2" t="s">
        <v>38</v>
      </c>
      <c r="R87" s="2" t="s">
        <v>39</v>
      </c>
      <c r="S87" s="2" t="s">
        <v>40</v>
      </c>
      <c r="T87" s="2" t="s">
        <v>39</v>
      </c>
      <c r="U87" s="2" t="s">
        <v>41</v>
      </c>
      <c r="V87" s="2" t="s">
        <v>42</v>
      </c>
      <c r="W87" s="2"/>
      <c r="X87" s="2" t="s">
        <v>43</v>
      </c>
      <c r="Y87" s="2">
        <v>18</v>
      </c>
      <c r="Z87" s="5" t="s">
        <v>44</v>
      </c>
      <c r="AA87" s="45"/>
      <c r="AB87" s="45" t="s">
        <v>88</v>
      </c>
      <c r="AC87" s="46">
        <v>14</v>
      </c>
      <c r="AD87" s="45" t="s">
        <v>89</v>
      </c>
    </row>
    <row r="88" spans="1:30">
      <c r="A88" s="2" t="s">
        <v>208</v>
      </c>
      <c r="B88" s="2" t="s">
        <v>85</v>
      </c>
      <c r="C88" s="3">
        <v>313</v>
      </c>
      <c r="D88" s="2" t="s">
        <v>54</v>
      </c>
      <c r="E88" s="2" t="s">
        <v>207</v>
      </c>
      <c r="F88" s="2" t="s">
        <v>194</v>
      </c>
      <c r="G88" s="2" t="s">
        <v>31</v>
      </c>
      <c r="H88" s="2">
        <v>1</v>
      </c>
      <c r="I88" s="2" t="s">
        <v>56</v>
      </c>
      <c r="J88" s="2" t="s">
        <v>57</v>
      </c>
      <c r="K88" s="2" t="s">
        <v>81</v>
      </c>
      <c r="L88" s="2" t="s">
        <v>35</v>
      </c>
      <c r="M88" s="3">
        <v>813</v>
      </c>
      <c r="N88" s="3">
        <v>2134</v>
      </c>
      <c r="O88" s="2" t="s">
        <v>36</v>
      </c>
      <c r="P88" s="2" t="s">
        <v>82</v>
      </c>
      <c r="Q88" s="2" t="s">
        <v>38</v>
      </c>
      <c r="R88" s="2" t="s">
        <v>39</v>
      </c>
      <c r="S88" s="2" t="s">
        <v>40</v>
      </c>
      <c r="T88" s="2" t="s">
        <v>39</v>
      </c>
      <c r="U88" s="2" t="s">
        <v>41</v>
      </c>
      <c r="V88" s="2" t="s">
        <v>42</v>
      </c>
      <c r="W88" s="2"/>
      <c r="X88" s="2" t="s">
        <v>43</v>
      </c>
      <c r="Y88" s="2">
        <v>18</v>
      </c>
      <c r="Z88" s="5" t="s">
        <v>44</v>
      </c>
      <c r="AA88" s="45"/>
      <c r="AB88" s="45" t="s">
        <v>83</v>
      </c>
      <c r="AC88" s="46">
        <v>32</v>
      </c>
      <c r="AD88" s="45" t="s">
        <v>59</v>
      </c>
    </row>
    <row r="89" spans="1:30">
      <c r="A89" s="2" t="s">
        <v>209</v>
      </c>
      <c r="B89" s="2" t="s">
        <v>85</v>
      </c>
      <c r="C89" s="3">
        <v>314</v>
      </c>
      <c r="D89" s="2" t="s">
        <v>54</v>
      </c>
      <c r="E89" s="2" t="s">
        <v>207</v>
      </c>
      <c r="F89" s="2" t="s">
        <v>194</v>
      </c>
      <c r="G89" s="2" t="s">
        <v>31</v>
      </c>
      <c r="H89" s="2">
        <v>1</v>
      </c>
      <c r="I89" s="2" t="s">
        <v>56</v>
      </c>
      <c r="J89" s="2" t="s">
        <v>57</v>
      </c>
      <c r="K89" s="2" t="s">
        <v>81</v>
      </c>
      <c r="L89" s="2" t="s">
        <v>35</v>
      </c>
      <c r="M89" s="3">
        <v>813</v>
      </c>
      <c r="N89" s="3">
        <v>2134</v>
      </c>
      <c r="O89" s="2" t="s">
        <v>36</v>
      </c>
      <c r="P89" s="2" t="s">
        <v>82</v>
      </c>
      <c r="Q89" s="2" t="s">
        <v>38</v>
      </c>
      <c r="R89" s="2" t="s">
        <v>39</v>
      </c>
      <c r="S89" s="2" t="s">
        <v>40</v>
      </c>
      <c r="T89" s="2" t="s">
        <v>39</v>
      </c>
      <c r="U89" s="2" t="s">
        <v>41</v>
      </c>
      <c r="V89" s="2" t="s">
        <v>42</v>
      </c>
      <c r="W89" s="2"/>
      <c r="X89" s="2" t="s">
        <v>43</v>
      </c>
      <c r="Y89" s="2">
        <v>18</v>
      </c>
      <c r="Z89" s="5" t="s">
        <v>44</v>
      </c>
      <c r="AA89" s="45"/>
      <c r="AB89" s="45" t="s">
        <v>83</v>
      </c>
      <c r="AC89" s="46">
        <v>32</v>
      </c>
      <c r="AD89" s="45" t="s">
        <v>59</v>
      </c>
    </row>
    <row r="90" spans="1:30">
      <c r="A90" s="2" t="s">
        <v>210</v>
      </c>
      <c r="B90" s="2" t="s">
        <v>80</v>
      </c>
      <c r="C90" s="3">
        <v>315</v>
      </c>
      <c r="D90" s="2" t="s">
        <v>54</v>
      </c>
      <c r="E90" s="2" t="s">
        <v>207</v>
      </c>
      <c r="F90" s="2" t="s">
        <v>194</v>
      </c>
      <c r="G90" s="2" t="s">
        <v>31</v>
      </c>
      <c r="H90" s="2">
        <v>1</v>
      </c>
      <c r="I90" s="2" t="s">
        <v>56</v>
      </c>
      <c r="J90" s="2" t="s">
        <v>57</v>
      </c>
      <c r="K90" s="2" t="s">
        <v>81</v>
      </c>
      <c r="L90" s="2" t="s">
        <v>35</v>
      </c>
      <c r="M90" s="3">
        <v>813</v>
      </c>
      <c r="N90" s="3">
        <v>2134</v>
      </c>
      <c r="O90" s="2" t="s">
        <v>36</v>
      </c>
      <c r="P90" s="2" t="s">
        <v>82</v>
      </c>
      <c r="Q90" s="2" t="s">
        <v>38</v>
      </c>
      <c r="R90" s="2" t="s">
        <v>39</v>
      </c>
      <c r="S90" s="2" t="s">
        <v>40</v>
      </c>
      <c r="T90" s="2" t="s">
        <v>39</v>
      </c>
      <c r="U90" s="2" t="s">
        <v>41</v>
      </c>
      <c r="V90" s="2" t="s">
        <v>42</v>
      </c>
      <c r="W90" s="2"/>
      <c r="X90" s="2" t="s">
        <v>43</v>
      </c>
      <c r="Y90" s="2">
        <v>18</v>
      </c>
      <c r="Z90" s="5" t="s">
        <v>44</v>
      </c>
      <c r="AA90" s="45"/>
      <c r="AB90" s="45" t="s">
        <v>83</v>
      </c>
      <c r="AC90" s="46">
        <v>32</v>
      </c>
      <c r="AD90" s="45" t="s">
        <v>59</v>
      </c>
    </row>
    <row r="91" spans="1:30">
      <c r="A91" s="2" t="s">
        <v>211</v>
      </c>
      <c r="B91" s="2" t="s">
        <v>212</v>
      </c>
      <c r="C91" s="3">
        <v>316</v>
      </c>
      <c r="D91" s="2" t="s">
        <v>54</v>
      </c>
      <c r="E91" s="2" t="s">
        <v>193</v>
      </c>
      <c r="F91" s="2" t="s">
        <v>194</v>
      </c>
      <c r="G91" s="2" t="s">
        <v>31</v>
      </c>
      <c r="H91" s="2">
        <v>1</v>
      </c>
      <c r="I91" s="2" t="s">
        <v>64</v>
      </c>
      <c r="J91" s="2" t="s">
        <v>65</v>
      </c>
      <c r="K91" s="2" t="s">
        <v>34</v>
      </c>
      <c r="L91" s="2" t="s">
        <v>35</v>
      </c>
      <c r="M91" s="3">
        <v>914</v>
      </c>
      <c r="N91" s="3">
        <v>2134</v>
      </c>
      <c r="O91" s="2" t="s">
        <v>36</v>
      </c>
      <c r="P91" s="2" t="s">
        <v>82</v>
      </c>
      <c r="Q91" s="2" t="s">
        <v>38</v>
      </c>
      <c r="R91" s="2" t="s">
        <v>39</v>
      </c>
      <c r="S91" s="2" t="s">
        <v>40</v>
      </c>
      <c r="T91" s="2" t="s">
        <v>39</v>
      </c>
      <c r="U91" s="2" t="s">
        <v>41</v>
      </c>
      <c r="V91" s="2" t="s">
        <v>42</v>
      </c>
      <c r="W91" s="2"/>
      <c r="X91" s="2" t="s">
        <v>43</v>
      </c>
      <c r="Y91" s="2">
        <v>18</v>
      </c>
      <c r="Z91" s="5" t="s">
        <v>44</v>
      </c>
      <c r="AA91" s="2" t="s">
        <v>213</v>
      </c>
      <c r="AB91" s="45" t="s">
        <v>88</v>
      </c>
      <c r="AC91" s="46">
        <v>39</v>
      </c>
      <c r="AD91" s="2" t="s">
        <v>59</v>
      </c>
    </row>
    <row r="92" spans="1:30">
      <c r="A92" s="2" t="s">
        <v>214</v>
      </c>
      <c r="B92" s="2" t="s">
        <v>54</v>
      </c>
      <c r="C92" s="2" t="s">
        <v>193</v>
      </c>
      <c r="D92" s="2" t="s">
        <v>139</v>
      </c>
      <c r="E92" s="3">
        <v>317</v>
      </c>
      <c r="F92" s="2" t="s">
        <v>194</v>
      </c>
      <c r="G92" s="2" t="s">
        <v>31</v>
      </c>
      <c r="H92" s="2">
        <v>1</v>
      </c>
      <c r="I92" s="2" t="s">
        <v>64</v>
      </c>
      <c r="J92" s="2" t="s">
        <v>65</v>
      </c>
      <c r="K92" s="2" t="s">
        <v>34</v>
      </c>
      <c r="L92" s="2" t="s">
        <v>35</v>
      </c>
      <c r="M92" s="3">
        <v>914</v>
      </c>
      <c r="N92" s="3">
        <v>2134</v>
      </c>
      <c r="O92" s="2" t="s">
        <v>36</v>
      </c>
      <c r="P92" s="2" t="s">
        <v>82</v>
      </c>
      <c r="Q92" s="2" t="s">
        <v>38</v>
      </c>
      <c r="R92" s="2" t="s">
        <v>39</v>
      </c>
      <c r="S92" s="2" t="s">
        <v>40</v>
      </c>
      <c r="T92" s="2" t="s">
        <v>39</v>
      </c>
      <c r="U92" s="2" t="s">
        <v>41</v>
      </c>
      <c r="V92" s="2" t="s">
        <v>42</v>
      </c>
      <c r="W92" s="2"/>
      <c r="X92" s="2" t="s">
        <v>43</v>
      </c>
      <c r="Y92" s="2">
        <v>18</v>
      </c>
      <c r="Z92" s="5" t="s">
        <v>44</v>
      </c>
      <c r="AA92" s="2" t="s">
        <v>140</v>
      </c>
      <c r="AB92" s="45" t="s">
        <v>88</v>
      </c>
      <c r="AC92" s="46">
        <v>38</v>
      </c>
      <c r="AD92" s="2" t="s">
        <v>59</v>
      </c>
    </row>
    <row r="93" spans="1:30">
      <c r="A93" s="2" t="s">
        <v>215</v>
      </c>
      <c r="B93" s="2" t="s">
        <v>158</v>
      </c>
      <c r="C93" s="3">
        <v>318</v>
      </c>
      <c r="D93" s="2" t="s">
        <v>54</v>
      </c>
      <c r="E93" s="2" t="s">
        <v>193</v>
      </c>
      <c r="F93" s="2" t="s">
        <v>194</v>
      </c>
      <c r="G93" s="2" t="s">
        <v>31</v>
      </c>
      <c r="H93" s="2">
        <v>1</v>
      </c>
      <c r="I93" s="2" t="s">
        <v>64</v>
      </c>
      <c r="J93" s="2" t="s">
        <v>65</v>
      </c>
      <c r="K93" s="2" t="s">
        <v>34</v>
      </c>
      <c r="L93" s="2" t="s">
        <v>35</v>
      </c>
      <c r="M93" s="3">
        <v>914</v>
      </c>
      <c r="N93" s="3">
        <v>2134</v>
      </c>
      <c r="O93" s="2" t="s">
        <v>36</v>
      </c>
      <c r="P93" s="2" t="s">
        <v>37</v>
      </c>
      <c r="Q93" s="2" t="s">
        <v>38</v>
      </c>
      <c r="R93" s="2" t="s">
        <v>39</v>
      </c>
      <c r="S93" s="2" t="s">
        <v>40</v>
      </c>
      <c r="T93" s="2" t="s">
        <v>39</v>
      </c>
      <c r="U93" s="2" t="s">
        <v>41</v>
      </c>
      <c r="V93" s="2" t="s">
        <v>42</v>
      </c>
      <c r="W93" s="2"/>
      <c r="X93" s="2" t="s">
        <v>43</v>
      </c>
      <c r="Y93" s="2">
        <v>18</v>
      </c>
      <c r="Z93" s="5" t="s">
        <v>44</v>
      </c>
      <c r="AA93" s="45"/>
      <c r="AB93" s="45" t="s">
        <v>58</v>
      </c>
      <c r="AC93" s="46">
        <v>25</v>
      </c>
      <c r="AD93" s="45" t="s">
        <v>46</v>
      </c>
    </row>
    <row r="94" spans="1:30">
      <c r="A94" s="2" t="s">
        <v>216</v>
      </c>
      <c r="B94" s="2" t="s">
        <v>54</v>
      </c>
      <c r="C94" s="2" t="s">
        <v>193</v>
      </c>
      <c r="D94" s="2" t="s">
        <v>158</v>
      </c>
      <c r="E94" s="3">
        <v>319</v>
      </c>
      <c r="F94" s="2" t="s">
        <v>194</v>
      </c>
      <c r="G94" s="2" t="s">
        <v>31</v>
      </c>
      <c r="H94" s="2">
        <v>1</v>
      </c>
      <c r="I94" s="2" t="s">
        <v>64</v>
      </c>
      <c r="J94" s="2" t="s">
        <v>65</v>
      </c>
      <c r="K94" s="2" t="s">
        <v>34</v>
      </c>
      <c r="L94" s="2" t="s">
        <v>35</v>
      </c>
      <c r="M94" s="3">
        <v>914</v>
      </c>
      <c r="N94" s="3">
        <v>2134</v>
      </c>
      <c r="O94" s="2" t="s">
        <v>36</v>
      </c>
      <c r="P94" s="2" t="s">
        <v>37</v>
      </c>
      <c r="Q94" s="2" t="s">
        <v>38</v>
      </c>
      <c r="R94" s="2" t="s">
        <v>39</v>
      </c>
      <c r="S94" s="2" t="s">
        <v>40</v>
      </c>
      <c r="T94" s="2" t="s">
        <v>39</v>
      </c>
      <c r="U94" s="2" t="s">
        <v>41</v>
      </c>
      <c r="V94" s="2" t="s">
        <v>42</v>
      </c>
      <c r="W94" s="2"/>
      <c r="X94" s="2" t="s">
        <v>43</v>
      </c>
      <c r="Y94" s="2">
        <v>18</v>
      </c>
      <c r="Z94" s="5" t="s">
        <v>44</v>
      </c>
      <c r="AA94" s="45"/>
      <c r="AB94" s="45" t="s">
        <v>58</v>
      </c>
      <c r="AC94" s="46">
        <v>25</v>
      </c>
      <c r="AD94" s="45" t="s">
        <v>46</v>
      </c>
    </row>
    <row r="95" spans="1:30">
      <c r="A95" s="2" t="s">
        <v>217</v>
      </c>
      <c r="B95" s="2" t="s">
        <v>158</v>
      </c>
      <c r="C95" s="3">
        <v>320</v>
      </c>
      <c r="D95" s="2" t="s">
        <v>54</v>
      </c>
      <c r="E95" s="2" t="s">
        <v>193</v>
      </c>
      <c r="F95" s="2" t="s">
        <v>194</v>
      </c>
      <c r="G95" s="2" t="s">
        <v>31</v>
      </c>
      <c r="H95" s="2">
        <v>1</v>
      </c>
      <c r="I95" s="2" t="s">
        <v>64</v>
      </c>
      <c r="J95" s="2" t="s">
        <v>65</v>
      </c>
      <c r="K95" s="2" t="s">
        <v>34</v>
      </c>
      <c r="L95" s="2" t="s">
        <v>35</v>
      </c>
      <c r="M95" s="3">
        <v>914</v>
      </c>
      <c r="N95" s="3">
        <v>2134</v>
      </c>
      <c r="O95" s="2" t="s">
        <v>36</v>
      </c>
      <c r="P95" s="2" t="s">
        <v>37</v>
      </c>
      <c r="Q95" s="2" t="s">
        <v>38</v>
      </c>
      <c r="R95" s="2" t="s">
        <v>39</v>
      </c>
      <c r="S95" s="2" t="s">
        <v>40</v>
      </c>
      <c r="T95" s="2" t="s">
        <v>39</v>
      </c>
      <c r="U95" s="2" t="s">
        <v>41</v>
      </c>
      <c r="V95" s="2" t="s">
        <v>42</v>
      </c>
      <c r="W95" s="2"/>
      <c r="X95" s="2" t="s">
        <v>43</v>
      </c>
      <c r="Y95" s="2">
        <v>18</v>
      </c>
      <c r="Z95" s="5" t="s">
        <v>44</v>
      </c>
      <c r="AA95" s="45"/>
      <c r="AB95" s="45" t="s">
        <v>58</v>
      </c>
      <c r="AC95" s="46">
        <v>25</v>
      </c>
      <c r="AD95" s="45" t="s">
        <v>46</v>
      </c>
    </row>
    <row r="96" spans="1:30">
      <c r="A96" s="2" t="s">
        <v>218</v>
      </c>
      <c r="B96" s="2" t="s">
        <v>54</v>
      </c>
      <c r="C96" s="2" t="s">
        <v>193</v>
      </c>
      <c r="D96" s="2" t="s">
        <v>158</v>
      </c>
      <c r="E96" s="3">
        <v>321</v>
      </c>
      <c r="F96" s="2" t="s">
        <v>194</v>
      </c>
      <c r="G96" s="2" t="s">
        <v>31</v>
      </c>
      <c r="H96" s="2">
        <v>1</v>
      </c>
      <c r="I96" s="2" t="s">
        <v>64</v>
      </c>
      <c r="J96" s="2" t="s">
        <v>65</v>
      </c>
      <c r="K96" s="2" t="s">
        <v>34</v>
      </c>
      <c r="L96" s="2" t="s">
        <v>35</v>
      </c>
      <c r="M96" s="3">
        <v>914</v>
      </c>
      <c r="N96" s="3">
        <v>2134</v>
      </c>
      <c r="O96" s="2" t="s">
        <v>36</v>
      </c>
      <c r="P96" s="2" t="s">
        <v>37</v>
      </c>
      <c r="Q96" s="2" t="s">
        <v>38</v>
      </c>
      <c r="R96" s="2" t="s">
        <v>39</v>
      </c>
      <c r="S96" s="2" t="s">
        <v>40</v>
      </c>
      <c r="T96" s="2" t="s">
        <v>39</v>
      </c>
      <c r="U96" s="2" t="s">
        <v>41</v>
      </c>
      <c r="V96" s="2" t="s">
        <v>42</v>
      </c>
      <c r="W96" s="2"/>
      <c r="X96" s="2" t="s">
        <v>43</v>
      </c>
      <c r="Y96" s="2">
        <v>18</v>
      </c>
      <c r="Z96" s="5" t="s">
        <v>44</v>
      </c>
      <c r="AA96" s="45"/>
      <c r="AB96" s="45" t="s">
        <v>58</v>
      </c>
      <c r="AC96" s="46">
        <v>25</v>
      </c>
      <c r="AD96" s="45" t="s">
        <v>46</v>
      </c>
    </row>
    <row r="97" spans="1:30">
      <c r="A97" s="2" t="s">
        <v>219</v>
      </c>
      <c r="B97" s="2" t="s">
        <v>85</v>
      </c>
      <c r="C97" s="3">
        <v>322</v>
      </c>
      <c r="D97" s="2" t="s">
        <v>54</v>
      </c>
      <c r="E97" s="2" t="s">
        <v>220</v>
      </c>
      <c r="F97" s="2" t="s">
        <v>194</v>
      </c>
      <c r="G97" s="2" t="s">
        <v>31</v>
      </c>
      <c r="H97" s="2">
        <v>1</v>
      </c>
      <c r="I97" s="2" t="s">
        <v>56</v>
      </c>
      <c r="J97" s="2" t="s">
        <v>57</v>
      </c>
      <c r="K97" s="2" t="s">
        <v>81</v>
      </c>
      <c r="L97" s="2" t="s">
        <v>35</v>
      </c>
      <c r="M97" s="3">
        <v>813</v>
      </c>
      <c r="N97" s="3">
        <v>2134</v>
      </c>
      <c r="O97" s="2" t="s">
        <v>36</v>
      </c>
      <c r="P97" s="2" t="s">
        <v>82</v>
      </c>
      <c r="Q97" s="2" t="s">
        <v>38</v>
      </c>
      <c r="R97" s="2" t="s">
        <v>39</v>
      </c>
      <c r="S97" s="2" t="s">
        <v>40</v>
      </c>
      <c r="T97" s="2" t="s">
        <v>39</v>
      </c>
      <c r="U97" s="2" t="s">
        <v>41</v>
      </c>
      <c r="V97" s="2" t="s">
        <v>42</v>
      </c>
      <c r="W97" s="2"/>
      <c r="X97" s="2" t="s">
        <v>43</v>
      </c>
      <c r="Y97" s="2">
        <v>18</v>
      </c>
      <c r="Z97" s="5" t="s">
        <v>44</v>
      </c>
      <c r="AA97" s="45"/>
      <c r="AB97" s="45" t="s">
        <v>83</v>
      </c>
      <c r="AC97" s="46">
        <v>32</v>
      </c>
      <c r="AD97" s="45" t="s">
        <v>59</v>
      </c>
    </row>
    <row r="98" spans="1:30">
      <c r="A98" s="2" t="s">
        <v>221</v>
      </c>
      <c r="B98" s="2" t="s">
        <v>85</v>
      </c>
      <c r="C98" s="3">
        <v>323</v>
      </c>
      <c r="D98" s="2" t="s">
        <v>54</v>
      </c>
      <c r="E98" s="2" t="s">
        <v>220</v>
      </c>
      <c r="F98" s="2" t="s">
        <v>194</v>
      </c>
      <c r="G98" s="2" t="s">
        <v>31</v>
      </c>
      <c r="H98" s="2">
        <v>1</v>
      </c>
      <c r="I98" s="2" t="s">
        <v>56</v>
      </c>
      <c r="J98" s="2" t="s">
        <v>57</v>
      </c>
      <c r="K98" s="2" t="s">
        <v>81</v>
      </c>
      <c r="L98" s="2" t="s">
        <v>35</v>
      </c>
      <c r="M98" s="3">
        <v>813</v>
      </c>
      <c r="N98" s="3">
        <v>2134</v>
      </c>
      <c r="O98" s="2" t="s">
        <v>36</v>
      </c>
      <c r="P98" s="2" t="s">
        <v>82</v>
      </c>
      <c r="Q98" s="2" t="s">
        <v>38</v>
      </c>
      <c r="R98" s="2" t="s">
        <v>39</v>
      </c>
      <c r="S98" s="2" t="s">
        <v>40</v>
      </c>
      <c r="T98" s="2" t="s">
        <v>39</v>
      </c>
      <c r="U98" s="2" t="s">
        <v>41</v>
      </c>
      <c r="V98" s="2" t="s">
        <v>42</v>
      </c>
      <c r="W98" s="2"/>
      <c r="X98" s="2" t="s">
        <v>43</v>
      </c>
      <c r="Y98" s="2">
        <v>18</v>
      </c>
      <c r="Z98" s="5" t="s">
        <v>44</v>
      </c>
      <c r="AA98" s="45"/>
      <c r="AB98" s="45" t="s">
        <v>83</v>
      </c>
      <c r="AC98" s="46">
        <v>32</v>
      </c>
      <c r="AD98" s="45" t="s">
        <v>59</v>
      </c>
    </row>
    <row r="99" spans="1:30">
      <c r="A99" s="2" t="s">
        <v>222</v>
      </c>
      <c r="B99" s="2" t="s">
        <v>85</v>
      </c>
      <c r="C99" s="3">
        <v>324</v>
      </c>
      <c r="D99" s="2" t="s">
        <v>54</v>
      </c>
      <c r="E99" s="2" t="s">
        <v>220</v>
      </c>
      <c r="F99" s="2" t="s">
        <v>194</v>
      </c>
      <c r="G99" s="2" t="s">
        <v>31</v>
      </c>
      <c r="H99" s="2">
        <v>1</v>
      </c>
      <c r="I99" s="2" t="s">
        <v>56</v>
      </c>
      <c r="J99" s="2" t="s">
        <v>57</v>
      </c>
      <c r="K99" s="2" t="s">
        <v>81</v>
      </c>
      <c r="L99" s="2" t="s">
        <v>35</v>
      </c>
      <c r="M99" s="3">
        <v>813</v>
      </c>
      <c r="N99" s="3">
        <v>2134</v>
      </c>
      <c r="O99" s="2" t="s">
        <v>36</v>
      </c>
      <c r="P99" s="2" t="s">
        <v>82</v>
      </c>
      <c r="Q99" s="2" t="s">
        <v>38</v>
      </c>
      <c r="R99" s="2" t="s">
        <v>39</v>
      </c>
      <c r="S99" s="2" t="s">
        <v>40</v>
      </c>
      <c r="T99" s="2" t="s">
        <v>39</v>
      </c>
      <c r="U99" s="2" t="s">
        <v>41</v>
      </c>
      <c r="V99" s="2" t="s">
        <v>42</v>
      </c>
      <c r="W99" s="2"/>
      <c r="X99" s="2" t="s">
        <v>43</v>
      </c>
      <c r="Y99" s="2">
        <v>18</v>
      </c>
      <c r="Z99" s="5" t="s">
        <v>44</v>
      </c>
      <c r="AA99" s="45"/>
      <c r="AB99" s="45" t="s">
        <v>83</v>
      </c>
      <c r="AC99" s="46">
        <v>32</v>
      </c>
      <c r="AD99" s="45" t="s">
        <v>59</v>
      </c>
    </row>
    <row r="100" spans="1:30">
      <c r="A100" s="2" t="s">
        <v>223</v>
      </c>
      <c r="B100" s="2" t="s">
        <v>87</v>
      </c>
      <c r="C100" s="3">
        <v>325</v>
      </c>
      <c r="D100" s="2" t="s">
        <v>54</v>
      </c>
      <c r="E100" s="2" t="s">
        <v>220</v>
      </c>
      <c r="F100" s="2" t="s">
        <v>194</v>
      </c>
      <c r="G100" s="2" t="s">
        <v>31</v>
      </c>
      <c r="H100" s="2">
        <v>1</v>
      </c>
      <c r="I100" s="2" t="s">
        <v>56</v>
      </c>
      <c r="J100" s="2" t="s">
        <v>57</v>
      </c>
      <c r="K100" s="2" t="s">
        <v>34</v>
      </c>
      <c r="L100" s="2" t="s">
        <v>35</v>
      </c>
      <c r="M100" s="3">
        <v>914</v>
      </c>
      <c r="N100" s="3">
        <v>2134</v>
      </c>
      <c r="O100" s="2" t="s">
        <v>36</v>
      </c>
      <c r="P100" s="2" t="s">
        <v>82</v>
      </c>
      <c r="Q100" s="2" t="s">
        <v>38</v>
      </c>
      <c r="R100" s="2" t="s">
        <v>39</v>
      </c>
      <c r="S100" s="2" t="s">
        <v>40</v>
      </c>
      <c r="T100" s="2" t="s">
        <v>39</v>
      </c>
      <c r="U100" s="2" t="s">
        <v>41</v>
      </c>
      <c r="V100" s="2" t="s">
        <v>42</v>
      </c>
      <c r="W100" s="2"/>
      <c r="X100" s="2" t="s">
        <v>43</v>
      </c>
      <c r="Y100" s="2">
        <v>18</v>
      </c>
      <c r="Z100" s="5" t="s">
        <v>44</v>
      </c>
      <c r="AA100" s="45"/>
      <c r="AB100" s="45" t="s">
        <v>88</v>
      </c>
      <c r="AC100" s="46">
        <v>14</v>
      </c>
      <c r="AD100" s="45" t="s">
        <v>89</v>
      </c>
    </row>
    <row r="101" spans="1:30">
      <c r="A101" s="2" t="s">
        <v>224</v>
      </c>
      <c r="B101" s="2" t="s">
        <v>172</v>
      </c>
      <c r="C101" s="3">
        <v>326</v>
      </c>
      <c r="D101" s="2" t="s">
        <v>54</v>
      </c>
      <c r="E101" s="2" t="s">
        <v>193</v>
      </c>
      <c r="F101" s="2" t="s">
        <v>194</v>
      </c>
      <c r="G101" s="2" t="s">
        <v>31</v>
      </c>
      <c r="H101" s="2">
        <v>1</v>
      </c>
      <c r="I101" s="2" t="s">
        <v>32</v>
      </c>
      <c r="J101" s="2" t="s">
        <v>33</v>
      </c>
      <c r="K101" s="2" t="s">
        <v>34</v>
      </c>
      <c r="L101" s="2" t="s">
        <v>35</v>
      </c>
      <c r="M101" s="3">
        <v>914</v>
      </c>
      <c r="N101" s="3">
        <v>2134</v>
      </c>
      <c r="O101" s="2" t="s">
        <v>36</v>
      </c>
      <c r="P101" s="2" t="s">
        <v>72</v>
      </c>
      <c r="Q101" s="2" t="s">
        <v>38</v>
      </c>
      <c r="R101" s="2" t="s">
        <v>39</v>
      </c>
      <c r="S101" s="2" t="s">
        <v>40</v>
      </c>
      <c r="T101" s="2" t="s">
        <v>39</v>
      </c>
      <c r="U101" s="2" t="s">
        <v>41</v>
      </c>
      <c r="V101" s="2" t="s">
        <v>42</v>
      </c>
      <c r="W101" s="2" t="s">
        <v>72</v>
      </c>
      <c r="X101" s="2" t="s">
        <v>43</v>
      </c>
      <c r="Y101" s="2">
        <v>18</v>
      </c>
      <c r="Z101" s="5" t="s">
        <v>44</v>
      </c>
      <c r="AA101" s="45"/>
      <c r="AB101" s="45" t="s">
        <v>58</v>
      </c>
      <c r="AC101" s="46">
        <v>24</v>
      </c>
      <c r="AD101" s="45" t="s">
        <v>59</v>
      </c>
    </row>
    <row r="102" spans="1:30">
      <c r="A102" s="2" t="s">
        <v>225</v>
      </c>
      <c r="B102" s="2" t="s">
        <v>54</v>
      </c>
      <c r="C102" s="2" t="s">
        <v>55</v>
      </c>
      <c r="D102" s="2" t="s">
        <v>54</v>
      </c>
      <c r="E102" s="2" t="s">
        <v>55</v>
      </c>
      <c r="F102" s="2" t="s">
        <v>30</v>
      </c>
      <c r="G102" s="2" t="s">
        <v>31</v>
      </c>
      <c r="H102" s="2">
        <v>1</v>
      </c>
      <c r="I102" s="2" t="s">
        <v>121</v>
      </c>
      <c r="J102" s="2" t="s">
        <v>122</v>
      </c>
      <c r="K102" s="2" t="s">
        <v>34</v>
      </c>
      <c r="L102" s="2" t="s">
        <v>35</v>
      </c>
      <c r="M102" s="3">
        <v>914</v>
      </c>
      <c r="N102" s="3">
        <v>2134</v>
      </c>
      <c r="O102" s="2" t="s">
        <v>36</v>
      </c>
      <c r="P102" s="2" t="s">
        <v>37</v>
      </c>
      <c r="Q102" s="2" t="s">
        <v>38</v>
      </c>
      <c r="R102" s="2" t="s">
        <v>39</v>
      </c>
      <c r="S102" s="2" t="s">
        <v>40</v>
      </c>
      <c r="T102" s="2" t="s">
        <v>39</v>
      </c>
      <c r="U102" s="2" t="s">
        <v>41</v>
      </c>
      <c r="V102" s="2" t="s">
        <v>42</v>
      </c>
      <c r="W102" s="2"/>
      <c r="X102" s="2" t="s">
        <v>43</v>
      </c>
      <c r="Y102" s="2">
        <v>18</v>
      </c>
      <c r="Z102" s="5" t="s">
        <v>44</v>
      </c>
      <c r="AA102" s="45"/>
      <c r="AB102" s="45" t="s">
        <v>95</v>
      </c>
      <c r="AC102" s="46">
        <v>15</v>
      </c>
      <c r="AD102" s="45" t="s">
        <v>96</v>
      </c>
    </row>
    <row r="103" spans="1:30">
      <c r="A103" s="2" t="s">
        <v>226</v>
      </c>
      <c r="B103" s="2" t="s">
        <v>92</v>
      </c>
      <c r="C103" s="3">
        <v>109</v>
      </c>
      <c r="D103" s="2" t="s">
        <v>54</v>
      </c>
      <c r="E103" s="2" t="s">
        <v>98</v>
      </c>
      <c r="F103" s="2" t="s">
        <v>30</v>
      </c>
      <c r="G103" s="2" t="s">
        <v>31</v>
      </c>
      <c r="H103" s="2">
        <v>1</v>
      </c>
      <c r="I103" s="2" t="s">
        <v>227</v>
      </c>
      <c r="J103" s="2" t="s">
        <v>228</v>
      </c>
      <c r="K103" s="2" t="s">
        <v>34</v>
      </c>
      <c r="L103" s="2" t="s">
        <v>35</v>
      </c>
      <c r="M103" s="3">
        <v>914</v>
      </c>
      <c r="N103" s="3">
        <v>2134</v>
      </c>
      <c r="O103" s="2" t="s">
        <v>36</v>
      </c>
      <c r="P103" s="2" t="s">
        <v>37</v>
      </c>
      <c r="Q103" s="2" t="s">
        <v>38</v>
      </c>
      <c r="R103" s="2" t="s">
        <v>39</v>
      </c>
      <c r="S103" s="2" t="s">
        <v>40</v>
      </c>
      <c r="T103" s="2" t="s">
        <v>39</v>
      </c>
      <c r="U103" s="2" t="s">
        <v>41</v>
      </c>
      <c r="V103" s="2" t="s">
        <v>42</v>
      </c>
      <c r="W103" s="2"/>
      <c r="X103" s="2" t="s">
        <v>43</v>
      </c>
      <c r="Y103" s="2">
        <v>18</v>
      </c>
      <c r="Z103" s="5" t="s">
        <v>44</v>
      </c>
      <c r="AA103" s="45"/>
      <c r="AB103" s="45" t="s">
        <v>229</v>
      </c>
      <c r="AC103" s="46">
        <v>31</v>
      </c>
      <c r="AD103" s="45" t="s">
        <v>89</v>
      </c>
    </row>
    <row r="104" spans="1:30">
      <c r="H104" s="4">
        <f>SUM(H2:H103)</f>
        <v>102</v>
      </c>
    </row>
    <row r="108" spans="1:30">
      <c r="C108" s="62" t="s">
        <v>230</v>
      </c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4"/>
    </row>
  </sheetData>
  <mergeCells count="1">
    <mergeCell ref="C108:O10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9"/>
  <sheetViews>
    <sheetView workbookViewId="0">
      <pane ySplit="1" topLeftCell="A65" activePane="bottomLeft" state="frozen"/>
      <selection activeCell="I29" sqref="I29"/>
      <selection pane="bottomLeft" activeCell="AD2" sqref="AD2:AD44"/>
    </sheetView>
  </sheetViews>
  <sheetFormatPr defaultColWidth="9.33203125" defaultRowHeight="12.75"/>
  <cols>
    <col min="1" max="1" width="11.5" customWidth="1"/>
    <col min="2" max="2" width="26.33203125" customWidth="1"/>
    <col min="3" max="3" width="17" customWidth="1"/>
    <col min="4" max="4" width="26.33203125" customWidth="1"/>
    <col min="5" max="5" width="17" customWidth="1"/>
    <col min="6" max="6" width="30.6640625" customWidth="1"/>
    <col min="7" max="7" width="21.1640625" customWidth="1"/>
    <col min="8" max="8" width="10.83203125" customWidth="1"/>
    <col min="9" max="9" width="11.5" customWidth="1"/>
    <col min="10" max="10" width="13.33203125" customWidth="1"/>
    <col min="11" max="11" width="14.6640625" customWidth="1"/>
    <col min="12" max="12" width="15" customWidth="1"/>
    <col min="13" max="13" width="13.1640625" customWidth="1"/>
    <col min="14" max="14" width="15" customWidth="1"/>
    <col min="15" max="15" width="18.5" customWidth="1"/>
    <col min="16" max="16" width="12.1640625" customWidth="1"/>
    <col min="17" max="17" width="17.5" customWidth="1"/>
    <col min="18" max="18" width="14.33203125" customWidth="1"/>
    <col min="19" max="19" width="14.1640625" customWidth="1"/>
    <col min="20" max="20" width="14.6640625" customWidth="1"/>
    <col min="21" max="21" width="14.1640625" customWidth="1"/>
    <col min="22" max="22" width="18.33203125" customWidth="1"/>
    <col min="23" max="23" width="15" customWidth="1"/>
    <col min="24" max="24" width="9.33203125" customWidth="1"/>
    <col min="25" max="25" width="19.33203125" customWidth="1"/>
    <col min="26" max="26" width="15.6640625" customWidth="1"/>
    <col min="27" max="27" width="15" customWidth="1"/>
    <col min="28" max="28" width="13.1640625" customWidth="1"/>
    <col min="29" max="29" width="24.6640625" customWidth="1"/>
    <col min="30" max="30" width="22" customWidth="1"/>
    <col min="31" max="31" width="47.3320312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10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231</v>
      </c>
      <c r="U1" s="1" t="s">
        <v>15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18</v>
      </c>
      <c r="AB1" s="1" t="s">
        <v>22</v>
      </c>
      <c r="AC1" s="1" t="s">
        <v>23</v>
      </c>
      <c r="AD1" s="1" t="s">
        <v>24</v>
      </c>
      <c r="AE1" s="1" t="s">
        <v>25</v>
      </c>
    </row>
    <row r="2" spans="1:31">
      <c r="A2" s="2" t="s">
        <v>232</v>
      </c>
      <c r="B2" s="2" t="s">
        <v>233</v>
      </c>
      <c r="C2" s="3">
        <v>101</v>
      </c>
      <c r="D2" s="45"/>
      <c r="E2" s="45"/>
      <c r="F2" s="2" t="s">
        <v>30</v>
      </c>
      <c r="G2" s="2" t="s">
        <v>234</v>
      </c>
      <c r="H2" s="2">
        <v>1</v>
      </c>
      <c r="I2" s="2" t="s">
        <v>235</v>
      </c>
      <c r="J2" s="2" t="s">
        <v>236</v>
      </c>
      <c r="K2" s="2" t="s">
        <v>66</v>
      </c>
      <c r="L2" s="2" t="s">
        <v>35</v>
      </c>
      <c r="M2" s="3">
        <v>1828</v>
      </c>
      <c r="N2" s="3">
        <v>2134</v>
      </c>
      <c r="O2" s="2" t="s">
        <v>36</v>
      </c>
      <c r="P2" s="2" t="s">
        <v>237</v>
      </c>
      <c r="Q2" s="2" t="s">
        <v>41</v>
      </c>
      <c r="R2" s="2" t="s">
        <v>42</v>
      </c>
      <c r="S2" s="2" t="s">
        <v>238</v>
      </c>
      <c r="T2" s="2">
        <v>18</v>
      </c>
      <c r="U2" s="2" t="s">
        <v>42</v>
      </c>
      <c r="V2" s="2" t="s">
        <v>41</v>
      </c>
      <c r="W2" s="2" t="s">
        <v>42</v>
      </c>
      <c r="X2" s="2" t="s">
        <v>237</v>
      </c>
      <c r="Y2" s="2" t="s">
        <v>43</v>
      </c>
      <c r="Z2" s="2">
        <v>16</v>
      </c>
      <c r="AA2" s="2" t="s">
        <v>42</v>
      </c>
      <c r="AB2" s="45"/>
      <c r="AC2" s="45" t="s">
        <v>95</v>
      </c>
      <c r="AD2" s="46">
        <v>10</v>
      </c>
      <c r="AE2" s="45" t="s">
        <v>239</v>
      </c>
    </row>
    <row r="3" spans="1:31">
      <c r="A3" s="2" t="s">
        <v>240</v>
      </c>
      <c r="B3" s="2" t="s">
        <v>54</v>
      </c>
      <c r="C3" s="2" t="s">
        <v>55</v>
      </c>
      <c r="D3" s="2" t="s">
        <v>233</v>
      </c>
      <c r="E3" s="3">
        <v>101</v>
      </c>
      <c r="F3" s="2" t="s">
        <v>30</v>
      </c>
      <c r="G3" s="2" t="s">
        <v>31</v>
      </c>
      <c r="H3" s="2">
        <v>1</v>
      </c>
      <c r="I3" s="2" t="s">
        <v>32</v>
      </c>
      <c r="J3" s="2" t="s">
        <v>33</v>
      </c>
      <c r="K3" s="2" t="s">
        <v>66</v>
      </c>
      <c r="L3" s="2" t="s">
        <v>35</v>
      </c>
      <c r="M3" s="3">
        <v>1828</v>
      </c>
      <c r="N3" s="3">
        <v>2134</v>
      </c>
      <c r="O3" s="2" t="s">
        <v>36</v>
      </c>
      <c r="P3" s="2" t="s">
        <v>241</v>
      </c>
      <c r="Q3" s="2" t="s">
        <v>41</v>
      </c>
      <c r="R3" s="2" t="s">
        <v>42</v>
      </c>
      <c r="S3" s="2" t="s">
        <v>238</v>
      </c>
      <c r="T3" s="2">
        <v>18</v>
      </c>
      <c r="U3" s="2" t="s">
        <v>42</v>
      </c>
      <c r="V3" s="2" t="s">
        <v>41</v>
      </c>
      <c r="W3" s="2" t="s">
        <v>42</v>
      </c>
      <c r="X3" s="2" t="s">
        <v>241</v>
      </c>
      <c r="Y3" s="2" t="s">
        <v>43</v>
      </c>
      <c r="Z3" s="2">
        <v>16</v>
      </c>
      <c r="AA3" s="2" t="s">
        <v>42</v>
      </c>
      <c r="AB3" s="45"/>
      <c r="AC3" s="45"/>
      <c r="AD3" s="46">
        <v>41</v>
      </c>
      <c r="AE3" s="45" t="s">
        <v>242</v>
      </c>
    </row>
    <row r="4" spans="1:31">
      <c r="A4" s="2" t="s">
        <v>243</v>
      </c>
      <c r="B4" s="2" t="s">
        <v>27</v>
      </c>
      <c r="C4" s="3">
        <v>102</v>
      </c>
      <c r="D4" s="2" t="s">
        <v>54</v>
      </c>
      <c r="E4" s="2" t="s">
        <v>55</v>
      </c>
      <c r="F4" s="2" t="s">
        <v>30</v>
      </c>
      <c r="G4" s="2" t="s">
        <v>31</v>
      </c>
      <c r="H4" s="2">
        <v>1</v>
      </c>
      <c r="I4" s="2" t="s">
        <v>64</v>
      </c>
      <c r="J4" s="2" t="s">
        <v>65</v>
      </c>
      <c r="K4" s="2" t="s">
        <v>34</v>
      </c>
      <c r="L4" s="2" t="s">
        <v>35</v>
      </c>
      <c r="M4" s="3">
        <v>914</v>
      </c>
      <c r="N4" s="3">
        <v>2134</v>
      </c>
      <c r="O4" s="2" t="s">
        <v>36</v>
      </c>
      <c r="P4" s="2" t="s">
        <v>244</v>
      </c>
      <c r="Q4" s="2" t="s">
        <v>41</v>
      </c>
      <c r="R4" s="2" t="s">
        <v>42</v>
      </c>
      <c r="S4" s="2" t="s">
        <v>238</v>
      </c>
      <c r="T4" s="2">
        <v>18</v>
      </c>
      <c r="U4" s="2" t="s">
        <v>42</v>
      </c>
      <c r="V4" s="2" t="s">
        <v>41</v>
      </c>
      <c r="W4" s="2" t="s">
        <v>42</v>
      </c>
      <c r="X4" s="2" t="s">
        <v>244</v>
      </c>
      <c r="Y4" s="2" t="s">
        <v>43</v>
      </c>
      <c r="Z4" s="2">
        <v>16</v>
      </c>
      <c r="AA4" s="2" t="s">
        <v>42</v>
      </c>
      <c r="AB4" s="45"/>
      <c r="AC4" s="45" t="s">
        <v>58</v>
      </c>
      <c r="AD4" s="46" t="s">
        <v>245</v>
      </c>
      <c r="AE4" s="45" t="s">
        <v>59</v>
      </c>
    </row>
    <row r="5" spans="1:31">
      <c r="A5" s="2" t="s">
        <v>246</v>
      </c>
      <c r="B5" s="45"/>
      <c r="C5" s="45"/>
      <c r="D5" s="2" t="s">
        <v>53</v>
      </c>
      <c r="E5" s="3">
        <v>103</v>
      </c>
      <c r="F5" s="2" t="s">
        <v>30</v>
      </c>
      <c r="G5" s="2" t="s">
        <v>234</v>
      </c>
      <c r="H5" s="2">
        <v>1</v>
      </c>
      <c r="I5" s="2" t="s">
        <v>247</v>
      </c>
      <c r="J5" s="2" t="s">
        <v>236</v>
      </c>
      <c r="K5" s="2" t="s">
        <v>34</v>
      </c>
      <c r="L5" s="2" t="s">
        <v>35</v>
      </c>
      <c r="M5" s="3">
        <v>914</v>
      </c>
      <c r="N5" s="3">
        <v>2134</v>
      </c>
      <c r="O5" s="2" t="s">
        <v>36</v>
      </c>
      <c r="P5" s="2" t="s">
        <v>248</v>
      </c>
      <c r="Q5" s="2" t="s">
        <v>41</v>
      </c>
      <c r="R5" s="2" t="s">
        <v>42</v>
      </c>
      <c r="S5" s="2" t="s">
        <v>238</v>
      </c>
      <c r="T5" s="2">
        <v>18</v>
      </c>
      <c r="U5" s="2" t="s">
        <v>42</v>
      </c>
      <c r="V5" s="2" t="s">
        <v>41</v>
      </c>
      <c r="W5" s="2" t="s">
        <v>42</v>
      </c>
      <c r="X5" s="2"/>
      <c r="Y5" s="2" t="s">
        <v>43</v>
      </c>
      <c r="Z5" s="2">
        <v>16</v>
      </c>
      <c r="AA5" s="2" t="s">
        <v>42</v>
      </c>
      <c r="AB5" s="45"/>
      <c r="AC5" s="45" t="s">
        <v>249</v>
      </c>
      <c r="AD5" s="46">
        <v>5</v>
      </c>
      <c r="AE5" s="45" t="s">
        <v>89</v>
      </c>
    </row>
    <row r="6" spans="1:31">
      <c r="A6" s="2" t="s">
        <v>250</v>
      </c>
      <c r="B6" s="2" t="s">
        <v>63</v>
      </c>
      <c r="C6" s="3">
        <v>104</v>
      </c>
      <c r="D6" s="2" t="s">
        <v>54</v>
      </c>
      <c r="E6" s="2" t="s">
        <v>55</v>
      </c>
      <c r="F6" s="2" t="s">
        <v>30</v>
      </c>
      <c r="G6" s="2" t="s">
        <v>31</v>
      </c>
      <c r="H6" s="2">
        <v>1</v>
      </c>
      <c r="I6" s="2" t="s">
        <v>32</v>
      </c>
      <c r="J6" s="2" t="s">
        <v>33</v>
      </c>
      <c r="K6" s="2" t="s">
        <v>34</v>
      </c>
      <c r="L6" s="2" t="s">
        <v>35</v>
      </c>
      <c r="M6" s="3">
        <v>914</v>
      </c>
      <c r="N6" s="3">
        <v>2134</v>
      </c>
      <c r="O6" s="2" t="s">
        <v>36</v>
      </c>
      <c r="P6" s="2" t="s">
        <v>244</v>
      </c>
      <c r="Q6" s="2" t="s">
        <v>41</v>
      </c>
      <c r="R6" s="2" t="s">
        <v>42</v>
      </c>
      <c r="S6" s="2" t="s">
        <v>238</v>
      </c>
      <c r="T6" s="2">
        <v>18</v>
      </c>
      <c r="U6" s="2" t="s">
        <v>42</v>
      </c>
      <c r="V6" s="2" t="s">
        <v>41</v>
      </c>
      <c r="W6" s="2" t="s">
        <v>42</v>
      </c>
      <c r="X6" s="2" t="s">
        <v>244</v>
      </c>
      <c r="Y6" s="2" t="s">
        <v>43</v>
      </c>
      <c r="Z6" s="2">
        <v>16</v>
      </c>
      <c r="AA6" s="2" t="s">
        <v>42</v>
      </c>
      <c r="AB6" s="45"/>
      <c r="AC6" s="45" t="s">
        <v>58</v>
      </c>
      <c r="AD6" s="46" t="s">
        <v>245</v>
      </c>
      <c r="AE6" s="45" t="s">
        <v>59</v>
      </c>
    </row>
    <row r="7" spans="1:31">
      <c r="A7" s="2" t="s">
        <v>251</v>
      </c>
      <c r="B7" s="2" t="s">
        <v>63</v>
      </c>
      <c r="C7" s="3">
        <v>104</v>
      </c>
      <c r="D7" s="45"/>
      <c r="E7" s="45"/>
      <c r="F7" s="2" t="s">
        <v>30</v>
      </c>
      <c r="G7" s="2" t="s">
        <v>234</v>
      </c>
      <c r="H7" s="2">
        <v>1</v>
      </c>
      <c r="I7" s="2" t="s">
        <v>247</v>
      </c>
      <c r="J7" s="2" t="s">
        <v>236</v>
      </c>
      <c r="K7" s="2" t="s">
        <v>66</v>
      </c>
      <c r="L7" s="2" t="s">
        <v>35</v>
      </c>
      <c r="M7" s="3">
        <v>1828</v>
      </c>
      <c r="N7" s="3">
        <v>2134</v>
      </c>
      <c r="O7" s="2" t="s">
        <v>36</v>
      </c>
      <c r="P7" s="2" t="s">
        <v>252</v>
      </c>
      <c r="Q7" s="2" t="s">
        <v>41</v>
      </c>
      <c r="R7" s="2" t="s">
        <v>42</v>
      </c>
      <c r="S7" s="2" t="s">
        <v>238</v>
      </c>
      <c r="T7" s="2">
        <v>18</v>
      </c>
      <c r="U7" s="2" t="s">
        <v>42</v>
      </c>
      <c r="V7" s="2" t="s">
        <v>41</v>
      </c>
      <c r="W7" s="2" t="s">
        <v>42</v>
      </c>
      <c r="X7" s="2" t="s">
        <v>252</v>
      </c>
      <c r="Y7" s="2" t="s">
        <v>43</v>
      </c>
      <c r="Z7" s="2">
        <v>16</v>
      </c>
      <c r="AA7" s="2" t="s">
        <v>42</v>
      </c>
      <c r="AB7" s="45"/>
      <c r="AC7" s="45" t="s">
        <v>95</v>
      </c>
      <c r="AD7" s="46">
        <v>3</v>
      </c>
      <c r="AE7" s="45" t="s">
        <v>96</v>
      </c>
    </row>
    <row r="8" spans="1:31">
      <c r="A8" s="2" t="s">
        <v>253</v>
      </c>
      <c r="B8" s="2" t="s">
        <v>63</v>
      </c>
      <c r="C8" s="3">
        <v>104</v>
      </c>
      <c r="D8" s="45"/>
      <c r="E8" s="45"/>
      <c r="F8" s="2" t="s">
        <v>30</v>
      </c>
      <c r="G8" s="2" t="s">
        <v>234</v>
      </c>
      <c r="H8" s="2">
        <v>1</v>
      </c>
      <c r="I8" s="2" t="s">
        <v>247</v>
      </c>
      <c r="J8" s="2" t="s">
        <v>236</v>
      </c>
      <c r="K8" s="2" t="s">
        <v>34</v>
      </c>
      <c r="L8" s="2" t="s">
        <v>35</v>
      </c>
      <c r="M8" s="3">
        <v>914</v>
      </c>
      <c r="N8" s="3">
        <v>2134</v>
      </c>
      <c r="O8" s="2" t="s">
        <v>36</v>
      </c>
      <c r="P8" s="2" t="s">
        <v>254</v>
      </c>
      <c r="Q8" s="2" t="s">
        <v>41</v>
      </c>
      <c r="R8" s="2" t="s">
        <v>42</v>
      </c>
      <c r="S8" s="2" t="s">
        <v>238</v>
      </c>
      <c r="T8" s="2">
        <v>18</v>
      </c>
      <c r="U8" s="2" t="s">
        <v>42</v>
      </c>
      <c r="V8" s="2" t="s">
        <v>41</v>
      </c>
      <c r="W8" s="2" t="s">
        <v>42</v>
      </c>
      <c r="X8" s="2" t="s">
        <v>254</v>
      </c>
      <c r="Y8" s="2" t="s">
        <v>43</v>
      </c>
      <c r="Z8" s="2">
        <v>16</v>
      </c>
      <c r="AA8" s="2" t="s">
        <v>42</v>
      </c>
      <c r="AB8" s="45"/>
      <c r="AC8" s="45" t="s">
        <v>249</v>
      </c>
      <c r="AD8" s="46">
        <v>4</v>
      </c>
      <c r="AE8" s="45" t="s">
        <v>59</v>
      </c>
    </row>
    <row r="9" spans="1:31">
      <c r="A9" s="2" t="s">
        <v>255</v>
      </c>
      <c r="B9" s="2" t="s">
        <v>74</v>
      </c>
      <c r="C9" s="3">
        <v>108</v>
      </c>
      <c r="D9" s="45"/>
      <c r="E9" s="45"/>
      <c r="F9" s="2" t="s">
        <v>30</v>
      </c>
      <c r="G9" s="2" t="s">
        <v>234</v>
      </c>
      <c r="H9" s="2">
        <v>1</v>
      </c>
      <c r="I9" s="2" t="s">
        <v>247</v>
      </c>
      <c r="J9" s="2" t="s">
        <v>236</v>
      </c>
      <c r="K9" s="2" t="s">
        <v>66</v>
      </c>
      <c r="L9" s="2" t="s">
        <v>35</v>
      </c>
      <c r="M9" s="3">
        <v>1828</v>
      </c>
      <c r="N9" s="3">
        <v>2134</v>
      </c>
      <c r="O9" s="2" t="s">
        <v>36</v>
      </c>
      <c r="P9" s="2" t="s">
        <v>252</v>
      </c>
      <c r="Q9" s="2" t="s">
        <v>41</v>
      </c>
      <c r="R9" s="2" t="s">
        <v>42</v>
      </c>
      <c r="S9" s="2" t="s">
        <v>238</v>
      </c>
      <c r="T9" s="2">
        <v>18</v>
      </c>
      <c r="U9" s="2" t="s">
        <v>42</v>
      </c>
      <c r="V9" s="2" t="s">
        <v>41</v>
      </c>
      <c r="W9" s="2" t="s">
        <v>42</v>
      </c>
      <c r="X9" s="2" t="s">
        <v>252</v>
      </c>
      <c r="Y9" s="2" t="s">
        <v>43</v>
      </c>
      <c r="Z9" s="2">
        <v>16</v>
      </c>
      <c r="AA9" s="2" t="s">
        <v>42</v>
      </c>
      <c r="AB9" s="45"/>
      <c r="AC9" s="45" t="s">
        <v>95</v>
      </c>
      <c r="AD9" s="46">
        <v>3</v>
      </c>
      <c r="AE9" s="45" t="s">
        <v>96</v>
      </c>
    </row>
    <row r="10" spans="1:31">
      <c r="A10" s="2" t="s">
        <v>256</v>
      </c>
      <c r="B10" s="2" t="s">
        <v>92</v>
      </c>
      <c r="C10" s="3">
        <v>109</v>
      </c>
      <c r="D10" s="45"/>
      <c r="E10" s="45"/>
      <c r="F10" s="2" t="s">
        <v>30</v>
      </c>
      <c r="G10" s="2" t="s">
        <v>234</v>
      </c>
      <c r="H10" s="2">
        <v>1</v>
      </c>
      <c r="I10" s="2" t="s">
        <v>257</v>
      </c>
      <c r="J10" s="2" t="s">
        <v>236</v>
      </c>
      <c r="K10" s="2" t="s">
        <v>66</v>
      </c>
      <c r="L10" s="2" t="s">
        <v>35</v>
      </c>
      <c r="M10" s="3">
        <v>1828</v>
      </c>
      <c r="N10" s="3">
        <v>2134</v>
      </c>
      <c r="O10" s="2" t="s">
        <v>36</v>
      </c>
      <c r="P10" s="2" t="s">
        <v>258</v>
      </c>
      <c r="Q10" s="2" t="s">
        <v>41</v>
      </c>
      <c r="R10" s="2" t="s">
        <v>42</v>
      </c>
      <c r="S10" s="2" t="s">
        <v>238</v>
      </c>
      <c r="T10" s="2">
        <v>18</v>
      </c>
      <c r="U10" s="2" t="s">
        <v>42</v>
      </c>
      <c r="V10" s="2" t="s">
        <v>41</v>
      </c>
      <c r="W10" s="2" t="s">
        <v>42</v>
      </c>
      <c r="X10" s="2"/>
      <c r="Y10" s="2" t="s">
        <v>43</v>
      </c>
      <c r="Z10" s="2">
        <v>16</v>
      </c>
      <c r="AA10" s="2" t="s">
        <v>42</v>
      </c>
      <c r="AB10" s="45"/>
      <c r="AC10" s="45" t="s">
        <v>95</v>
      </c>
      <c r="AD10" s="46">
        <v>3</v>
      </c>
      <c r="AE10" s="45" t="s">
        <v>96</v>
      </c>
    </row>
    <row r="11" spans="1:31">
      <c r="A11" s="2" t="s">
        <v>259</v>
      </c>
      <c r="B11" s="2" t="s">
        <v>92</v>
      </c>
      <c r="C11" s="3">
        <v>109</v>
      </c>
      <c r="D11" s="45"/>
      <c r="E11" s="45"/>
      <c r="F11" s="2" t="s">
        <v>30</v>
      </c>
      <c r="G11" s="2" t="s">
        <v>234</v>
      </c>
      <c r="H11" s="2">
        <v>1</v>
      </c>
      <c r="I11" s="2" t="s">
        <v>260</v>
      </c>
      <c r="J11" s="2" t="s">
        <v>236</v>
      </c>
      <c r="K11" s="2" t="s">
        <v>66</v>
      </c>
      <c r="L11" s="2" t="s">
        <v>35</v>
      </c>
      <c r="M11" s="3">
        <v>1828</v>
      </c>
      <c r="N11" s="3">
        <v>2134</v>
      </c>
      <c r="O11" s="2" t="s">
        <v>36</v>
      </c>
      <c r="P11" s="2" t="s">
        <v>258</v>
      </c>
      <c r="Q11" s="2" t="s">
        <v>41</v>
      </c>
      <c r="R11" s="2" t="s">
        <v>42</v>
      </c>
      <c r="S11" s="2" t="s">
        <v>238</v>
      </c>
      <c r="T11" s="2">
        <v>18</v>
      </c>
      <c r="U11" s="2" t="s">
        <v>42</v>
      </c>
      <c r="V11" s="2" t="s">
        <v>41</v>
      </c>
      <c r="W11" s="2" t="s">
        <v>42</v>
      </c>
      <c r="X11" s="2"/>
      <c r="Y11" s="2" t="s">
        <v>43</v>
      </c>
      <c r="Z11" s="2">
        <v>16</v>
      </c>
      <c r="AA11" s="2" t="s">
        <v>42</v>
      </c>
      <c r="AB11" s="45"/>
      <c r="AC11" s="45" t="s">
        <v>95</v>
      </c>
      <c r="AD11" s="46">
        <v>3</v>
      </c>
      <c r="AE11" s="45" t="s">
        <v>96</v>
      </c>
    </row>
    <row r="12" spans="1:31">
      <c r="A12" s="2" t="s">
        <v>261</v>
      </c>
      <c r="B12" s="2" t="s">
        <v>92</v>
      </c>
      <c r="C12" s="3">
        <v>109</v>
      </c>
      <c r="D12" s="45"/>
      <c r="E12" s="45"/>
      <c r="F12" s="2" t="s">
        <v>30</v>
      </c>
      <c r="G12" s="2" t="s">
        <v>234</v>
      </c>
      <c r="H12" s="2">
        <v>1</v>
      </c>
      <c r="I12" s="2" t="s">
        <v>262</v>
      </c>
      <c r="J12" s="2" t="s">
        <v>236</v>
      </c>
      <c r="K12" s="2" t="s">
        <v>66</v>
      </c>
      <c r="L12" s="2" t="s">
        <v>35</v>
      </c>
      <c r="M12" s="3">
        <v>1828</v>
      </c>
      <c r="N12" s="3">
        <v>2134</v>
      </c>
      <c r="O12" s="2" t="s">
        <v>36</v>
      </c>
      <c r="P12" s="2" t="s">
        <v>258</v>
      </c>
      <c r="Q12" s="2" t="s">
        <v>41</v>
      </c>
      <c r="R12" s="2" t="s">
        <v>42</v>
      </c>
      <c r="S12" s="2" t="s">
        <v>238</v>
      </c>
      <c r="T12" s="2">
        <v>18</v>
      </c>
      <c r="U12" s="2" t="s">
        <v>42</v>
      </c>
      <c r="V12" s="2" t="s">
        <v>41</v>
      </c>
      <c r="W12" s="2" t="s">
        <v>42</v>
      </c>
      <c r="X12" s="2"/>
      <c r="Y12" s="2" t="s">
        <v>43</v>
      </c>
      <c r="Z12" s="2">
        <v>16</v>
      </c>
      <c r="AA12" s="2" t="s">
        <v>42</v>
      </c>
      <c r="AB12" s="45"/>
      <c r="AC12" s="45" t="s">
        <v>95</v>
      </c>
      <c r="AD12" s="46">
        <v>10</v>
      </c>
      <c r="AE12" s="45" t="s">
        <v>239</v>
      </c>
    </row>
    <row r="13" spans="1:31">
      <c r="A13" s="2" t="s">
        <v>263</v>
      </c>
      <c r="B13" s="2" t="s">
        <v>264</v>
      </c>
      <c r="C13" s="3">
        <v>111</v>
      </c>
      <c r="D13" s="2" t="s">
        <v>264</v>
      </c>
      <c r="E13" s="3">
        <v>110</v>
      </c>
      <c r="F13" s="2" t="s">
        <v>30</v>
      </c>
      <c r="G13" s="2" t="s">
        <v>31</v>
      </c>
      <c r="H13" s="2">
        <v>1</v>
      </c>
      <c r="I13" s="2" t="s">
        <v>32</v>
      </c>
      <c r="J13" s="2" t="s">
        <v>33</v>
      </c>
      <c r="K13" s="2" t="s">
        <v>66</v>
      </c>
      <c r="L13" s="2" t="s">
        <v>35</v>
      </c>
      <c r="M13" s="3">
        <v>1828</v>
      </c>
      <c r="N13" s="3">
        <v>2134</v>
      </c>
      <c r="O13" s="2" t="s">
        <v>36</v>
      </c>
      <c r="P13" s="2" t="s">
        <v>265</v>
      </c>
      <c r="Q13" s="2" t="s">
        <v>41</v>
      </c>
      <c r="R13" s="2" t="s">
        <v>42</v>
      </c>
      <c r="S13" s="2" t="s">
        <v>238</v>
      </c>
      <c r="T13" s="2">
        <v>18</v>
      </c>
      <c r="U13" s="2" t="s">
        <v>42</v>
      </c>
      <c r="V13" s="2" t="s">
        <v>41</v>
      </c>
      <c r="W13" s="2" t="s">
        <v>42</v>
      </c>
      <c r="X13" s="2"/>
      <c r="Y13" s="2" t="s">
        <v>43</v>
      </c>
      <c r="Z13" s="2">
        <v>16</v>
      </c>
      <c r="AA13" s="2" t="s">
        <v>42</v>
      </c>
      <c r="AB13" s="45"/>
      <c r="AC13" s="45" t="s">
        <v>88</v>
      </c>
      <c r="AD13" s="46">
        <v>40</v>
      </c>
      <c r="AE13" s="45" t="s">
        <v>68</v>
      </c>
    </row>
    <row r="14" spans="1:31">
      <c r="A14" s="2" t="s">
        <v>266</v>
      </c>
      <c r="B14" s="45"/>
      <c r="C14" s="45"/>
      <c r="D14" s="2" t="s">
        <v>264</v>
      </c>
      <c r="E14" s="3">
        <v>110</v>
      </c>
      <c r="F14" s="2" t="s">
        <v>30</v>
      </c>
      <c r="G14" s="2" t="s">
        <v>234</v>
      </c>
      <c r="H14" s="2">
        <v>1</v>
      </c>
      <c r="I14" s="2" t="s">
        <v>262</v>
      </c>
      <c r="J14" s="2" t="s">
        <v>236</v>
      </c>
      <c r="K14" s="2" t="s">
        <v>66</v>
      </c>
      <c r="L14" s="2" t="s">
        <v>35</v>
      </c>
      <c r="M14" s="3">
        <v>1828</v>
      </c>
      <c r="N14" s="3">
        <v>2134</v>
      </c>
      <c r="O14" s="2" t="s">
        <v>36</v>
      </c>
      <c r="P14" s="2" t="s">
        <v>267</v>
      </c>
      <c r="Q14" s="2" t="s">
        <v>41</v>
      </c>
      <c r="R14" s="2" t="s">
        <v>42</v>
      </c>
      <c r="S14" s="2" t="s">
        <v>238</v>
      </c>
      <c r="T14" s="2">
        <v>18</v>
      </c>
      <c r="U14" s="2" t="s">
        <v>42</v>
      </c>
      <c r="V14" s="2" t="s">
        <v>41</v>
      </c>
      <c r="W14" s="2" t="s">
        <v>42</v>
      </c>
      <c r="X14" s="2"/>
      <c r="Y14" s="2" t="s">
        <v>43</v>
      </c>
      <c r="Z14" s="2">
        <v>16</v>
      </c>
      <c r="AA14" s="2" t="s">
        <v>42</v>
      </c>
      <c r="AB14" s="45"/>
      <c r="AC14" s="45" t="s">
        <v>268</v>
      </c>
      <c r="AD14" s="46">
        <v>2</v>
      </c>
      <c r="AE14" s="45" t="s">
        <v>269</v>
      </c>
    </row>
    <row r="15" spans="1:31">
      <c r="A15" s="2" t="s">
        <v>270</v>
      </c>
      <c r="B15" s="2" t="s">
        <v>264</v>
      </c>
      <c r="C15" s="3">
        <v>111</v>
      </c>
      <c r="D15" s="2" t="s">
        <v>92</v>
      </c>
      <c r="E15" s="3">
        <v>109</v>
      </c>
      <c r="F15" s="2" t="s">
        <v>30</v>
      </c>
      <c r="G15" s="2" t="s">
        <v>31</v>
      </c>
      <c r="H15" s="2">
        <v>1</v>
      </c>
      <c r="I15" s="2" t="s">
        <v>227</v>
      </c>
      <c r="J15" s="2" t="s">
        <v>228</v>
      </c>
      <c r="K15" s="2" t="s">
        <v>66</v>
      </c>
      <c r="L15" s="2" t="s">
        <v>35</v>
      </c>
      <c r="M15" s="3">
        <v>1828</v>
      </c>
      <c r="N15" s="3">
        <v>2134</v>
      </c>
      <c r="O15" s="2" t="s">
        <v>36</v>
      </c>
      <c r="P15" s="2" t="s">
        <v>265</v>
      </c>
      <c r="Q15" s="2" t="s">
        <v>41</v>
      </c>
      <c r="R15" s="2" t="s">
        <v>42</v>
      </c>
      <c r="S15" s="2" t="s">
        <v>238</v>
      </c>
      <c r="T15" s="2">
        <v>18</v>
      </c>
      <c r="U15" s="2" t="s">
        <v>42</v>
      </c>
      <c r="V15" s="2" t="s">
        <v>41</v>
      </c>
      <c r="W15" s="2" t="s">
        <v>42</v>
      </c>
      <c r="X15" s="2"/>
      <c r="Y15" s="2" t="s">
        <v>43</v>
      </c>
      <c r="Z15" s="2">
        <v>16</v>
      </c>
      <c r="AA15" s="2" t="s">
        <v>42</v>
      </c>
      <c r="AB15" s="45"/>
      <c r="AC15" s="45" t="s">
        <v>88</v>
      </c>
      <c r="AD15" s="46">
        <v>35</v>
      </c>
      <c r="AE15" s="45" t="s">
        <v>68</v>
      </c>
    </row>
    <row r="16" spans="1:31">
      <c r="A16" s="2" t="s">
        <v>271</v>
      </c>
      <c r="B16" s="2" t="s">
        <v>104</v>
      </c>
      <c r="C16" s="3">
        <v>116</v>
      </c>
      <c r="D16" s="45"/>
      <c r="E16" s="45"/>
      <c r="F16" s="2" t="s">
        <v>30</v>
      </c>
      <c r="G16" s="2" t="s">
        <v>234</v>
      </c>
      <c r="H16" s="2">
        <v>1</v>
      </c>
      <c r="I16" s="2" t="s">
        <v>247</v>
      </c>
      <c r="J16" s="2" t="s">
        <v>236</v>
      </c>
      <c r="K16" s="2" t="s">
        <v>66</v>
      </c>
      <c r="L16" s="2" t="s">
        <v>35</v>
      </c>
      <c r="M16" s="3">
        <v>1828</v>
      </c>
      <c r="N16" s="3">
        <v>2134</v>
      </c>
      <c r="O16" s="2" t="s">
        <v>36</v>
      </c>
      <c r="P16" s="2" t="s">
        <v>258</v>
      </c>
      <c r="Q16" s="2" t="s">
        <v>41</v>
      </c>
      <c r="R16" s="2" t="s">
        <v>42</v>
      </c>
      <c r="S16" s="2" t="s">
        <v>238</v>
      </c>
      <c r="T16" s="2">
        <v>18</v>
      </c>
      <c r="U16" s="2" t="s">
        <v>42</v>
      </c>
      <c r="V16" s="2" t="s">
        <v>41</v>
      </c>
      <c r="W16" s="2" t="s">
        <v>42</v>
      </c>
      <c r="X16" s="2"/>
      <c r="Y16" s="2" t="s">
        <v>43</v>
      </c>
      <c r="Z16" s="2">
        <v>16</v>
      </c>
      <c r="AA16" s="2" t="s">
        <v>42</v>
      </c>
      <c r="AB16" s="45"/>
      <c r="AC16" s="45" t="s">
        <v>95</v>
      </c>
      <c r="AD16" s="46">
        <v>3</v>
      </c>
      <c r="AE16" s="45" t="s">
        <v>96</v>
      </c>
    </row>
    <row r="17" spans="1:31">
      <c r="A17" s="2" t="s">
        <v>272</v>
      </c>
      <c r="B17" s="2" t="s">
        <v>114</v>
      </c>
      <c r="C17" s="3">
        <v>117</v>
      </c>
      <c r="D17" s="45"/>
      <c r="E17" s="45"/>
      <c r="F17" s="2" t="s">
        <v>30</v>
      </c>
      <c r="G17" s="2" t="s">
        <v>234</v>
      </c>
      <c r="H17" s="2">
        <v>1</v>
      </c>
      <c r="I17" s="2" t="s">
        <v>273</v>
      </c>
      <c r="J17" s="2" t="s">
        <v>236</v>
      </c>
      <c r="K17" s="2" t="s">
        <v>34</v>
      </c>
      <c r="L17" s="2" t="s">
        <v>35</v>
      </c>
      <c r="M17" s="3">
        <v>914</v>
      </c>
      <c r="N17" s="3">
        <v>2134</v>
      </c>
      <c r="O17" s="2" t="s">
        <v>36</v>
      </c>
      <c r="P17" s="2" t="s">
        <v>254</v>
      </c>
      <c r="Q17" s="2" t="s">
        <v>41</v>
      </c>
      <c r="R17" s="2" t="s">
        <v>42</v>
      </c>
      <c r="S17" s="2" t="s">
        <v>238</v>
      </c>
      <c r="T17" s="2">
        <v>18</v>
      </c>
      <c r="U17" s="2" t="s">
        <v>42</v>
      </c>
      <c r="V17" s="2" t="s">
        <v>41</v>
      </c>
      <c r="W17" s="2" t="s">
        <v>42</v>
      </c>
      <c r="X17" s="2" t="s">
        <v>254</v>
      </c>
      <c r="Y17" s="2" t="s">
        <v>43</v>
      </c>
      <c r="Z17" s="2">
        <v>16</v>
      </c>
      <c r="AA17" s="2" t="s">
        <v>42</v>
      </c>
      <c r="AB17" s="45"/>
      <c r="AC17" s="45" t="s">
        <v>249</v>
      </c>
      <c r="AD17" s="46">
        <v>4</v>
      </c>
      <c r="AE17" s="45" t="s">
        <v>59</v>
      </c>
    </row>
    <row r="18" spans="1:31">
      <c r="A18" s="2" t="s">
        <v>274</v>
      </c>
      <c r="B18" s="2" t="s">
        <v>118</v>
      </c>
      <c r="C18" s="3">
        <v>119</v>
      </c>
      <c r="D18" s="45"/>
      <c r="E18" s="45"/>
      <c r="F18" s="2" t="s">
        <v>30</v>
      </c>
      <c r="G18" s="2" t="s">
        <v>234</v>
      </c>
      <c r="H18" s="2">
        <v>1</v>
      </c>
      <c r="I18" s="2" t="s">
        <v>273</v>
      </c>
      <c r="J18" s="2" t="s">
        <v>236</v>
      </c>
      <c r="K18" s="2" t="s">
        <v>34</v>
      </c>
      <c r="L18" s="2" t="s">
        <v>35</v>
      </c>
      <c r="M18" s="3">
        <v>914</v>
      </c>
      <c r="N18" s="3">
        <v>2134</v>
      </c>
      <c r="O18" s="2" t="s">
        <v>36</v>
      </c>
      <c r="P18" s="2" t="s">
        <v>254</v>
      </c>
      <c r="Q18" s="2" t="s">
        <v>41</v>
      </c>
      <c r="R18" s="2" t="s">
        <v>42</v>
      </c>
      <c r="S18" s="2" t="s">
        <v>238</v>
      </c>
      <c r="T18" s="2">
        <v>18</v>
      </c>
      <c r="U18" s="2" t="s">
        <v>42</v>
      </c>
      <c r="V18" s="2" t="s">
        <v>41</v>
      </c>
      <c r="W18" s="2" t="s">
        <v>42</v>
      </c>
      <c r="X18" s="2" t="s">
        <v>254</v>
      </c>
      <c r="Y18" s="2" t="s">
        <v>43</v>
      </c>
      <c r="Z18" s="2">
        <v>16</v>
      </c>
      <c r="AA18" s="2" t="s">
        <v>42</v>
      </c>
      <c r="AB18" s="45"/>
      <c r="AC18" s="45" t="s">
        <v>249</v>
      </c>
      <c r="AD18" s="46">
        <v>4</v>
      </c>
      <c r="AE18" s="45" t="s">
        <v>59</v>
      </c>
    </row>
    <row r="19" spans="1:31">
      <c r="A19" s="2" t="s">
        <v>275</v>
      </c>
      <c r="B19" s="2" t="s">
        <v>118</v>
      </c>
      <c r="C19" s="3">
        <v>120</v>
      </c>
      <c r="D19" s="45"/>
      <c r="E19" s="45"/>
      <c r="F19" s="2" t="s">
        <v>30</v>
      </c>
      <c r="G19" s="2" t="s">
        <v>234</v>
      </c>
      <c r="H19" s="2">
        <v>1</v>
      </c>
      <c r="I19" s="2" t="s">
        <v>273</v>
      </c>
      <c r="J19" s="2" t="s">
        <v>236</v>
      </c>
      <c r="K19" s="2" t="s">
        <v>34</v>
      </c>
      <c r="L19" s="2" t="s">
        <v>35</v>
      </c>
      <c r="M19" s="3">
        <v>914</v>
      </c>
      <c r="N19" s="3">
        <v>2134</v>
      </c>
      <c r="O19" s="2" t="s">
        <v>36</v>
      </c>
      <c r="P19" s="2" t="s">
        <v>254</v>
      </c>
      <c r="Q19" s="2" t="s">
        <v>41</v>
      </c>
      <c r="R19" s="2" t="s">
        <v>42</v>
      </c>
      <c r="S19" s="2" t="s">
        <v>238</v>
      </c>
      <c r="T19" s="2">
        <v>18</v>
      </c>
      <c r="U19" s="2" t="s">
        <v>42</v>
      </c>
      <c r="V19" s="2" t="s">
        <v>41</v>
      </c>
      <c r="W19" s="2" t="s">
        <v>42</v>
      </c>
      <c r="X19" s="2" t="s">
        <v>254</v>
      </c>
      <c r="Y19" s="2" t="s">
        <v>43</v>
      </c>
      <c r="Z19" s="2">
        <v>16</v>
      </c>
      <c r="AA19" s="2" t="s">
        <v>42</v>
      </c>
      <c r="AB19" s="45"/>
      <c r="AC19" s="45" t="s">
        <v>249</v>
      </c>
      <c r="AD19" s="46">
        <v>4</v>
      </c>
      <c r="AE19" s="45" t="s">
        <v>59</v>
      </c>
    </row>
    <row r="20" spans="1:31">
      <c r="A20" s="2" t="s">
        <v>276</v>
      </c>
      <c r="B20" s="45"/>
      <c r="C20" s="45"/>
      <c r="D20" s="2" t="s">
        <v>118</v>
      </c>
      <c r="E20" s="3">
        <v>121</v>
      </c>
      <c r="F20" s="2" t="s">
        <v>30</v>
      </c>
      <c r="G20" s="2" t="s">
        <v>234</v>
      </c>
      <c r="H20" s="2">
        <v>1</v>
      </c>
      <c r="I20" s="2" t="s">
        <v>273</v>
      </c>
      <c r="J20" s="2" t="s">
        <v>236</v>
      </c>
      <c r="K20" s="2" t="s">
        <v>34</v>
      </c>
      <c r="L20" s="2" t="s">
        <v>35</v>
      </c>
      <c r="M20" s="3">
        <v>914</v>
      </c>
      <c r="N20" s="3">
        <v>2134</v>
      </c>
      <c r="O20" s="2" t="s">
        <v>36</v>
      </c>
      <c r="P20" s="2" t="s">
        <v>254</v>
      </c>
      <c r="Q20" s="2" t="s">
        <v>41</v>
      </c>
      <c r="R20" s="2" t="s">
        <v>42</v>
      </c>
      <c r="S20" s="2" t="s">
        <v>238</v>
      </c>
      <c r="T20" s="2">
        <v>18</v>
      </c>
      <c r="U20" s="2" t="s">
        <v>42</v>
      </c>
      <c r="V20" s="2" t="s">
        <v>41</v>
      </c>
      <c r="W20" s="2" t="s">
        <v>42</v>
      </c>
      <c r="X20" s="2" t="s">
        <v>254</v>
      </c>
      <c r="Y20" s="2" t="s">
        <v>43</v>
      </c>
      <c r="Z20" s="2">
        <v>16</v>
      </c>
      <c r="AA20" s="2" t="s">
        <v>42</v>
      </c>
      <c r="AB20" s="45"/>
      <c r="AC20" s="45" t="s">
        <v>249</v>
      </c>
      <c r="AD20" s="46">
        <v>4</v>
      </c>
      <c r="AE20" s="45" t="s">
        <v>59</v>
      </c>
    </row>
    <row r="21" spans="1:31">
      <c r="A21" s="2" t="s">
        <v>277</v>
      </c>
      <c r="B21" s="45"/>
      <c r="C21" s="45"/>
      <c r="D21" s="2" t="s">
        <v>118</v>
      </c>
      <c r="E21" s="3">
        <v>122</v>
      </c>
      <c r="F21" s="2" t="s">
        <v>30</v>
      </c>
      <c r="G21" s="2" t="s">
        <v>234</v>
      </c>
      <c r="H21" s="2">
        <v>1</v>
      </c>
      <c r="I21" s="2" t="s">
        <v>273</v>
      </c>
      <c r="J21" s="2" t="s">
        <v>236</v>
      </c>
      <c r="K21" s="2" t="s">
        <v>34</v>
      </c>
      <c r="L21" s="2" t="s">
        <v>35</v>
      </c>
      <c r="M21" s="3">
        <v>914</v>
      </c>
      <c r="N21" s="3">
        <v>2134</v>
      </c>
      <c r="O21" s="2" t="s">
        <v>36</v>
      </c>
      <c r="P21" s="2" t="s">
        <v>254</v>
      </c>
      <c r="Q21" s="2" t="s">
        <v>41</v>
      </c>
      <c r="R21" s="2" t="s">
        <v>42</v>
      </c>
      <c r="S21" s="2" t="s">
        <v>238</v>
      </c>
      <c r="T21" s="2">
        <v>18</v>
      </c>
      <c r="U21" s="2" t="s">
        <v>42</v>
      </c>
      <c r="V21" s="2" t="s">
        <v>41</v>
      </c>
      <c r="W21" s="2" t="s">
        <v>42</v>
      </c>
      <c r="X21" s="2" t="s">
        <v>254</v>
      </c>
      <c r="Y21" s="2" t="s">
        <v>43</v>
      </c>
      <c r="Z21" s="2">
        <v>16</v>
      </c>
      <c r="AA21" s="2" t="s">
        <v>42</v>
      </c>
      <c r="AB21" s="45"/>
      <c r="AC21" s="45" t="s">
        <v>249</v>
      </c>
      <c r="AD21" s="46">
        <v>4</v>
      </c>
      <c r="AE21" s="45" t="s">
        <v>59</v>
      </c>
    </row>
    <row r="22" spans="1:31">
      <c r="A22" s="2" t="s">
        <v>278</v>
      </c>
      <c r="B22" s="2" t="s">
        <v>118</v>
      </c>
      <c r="C22" s="3">
        <v>123</v>
      </c>
      <c r="D22" s="45"/>
      <c r="E22" s="45"/>
      <c r="F22" s="2" t="s">
        <v>30</v>
      </c>
      <c r="G22" s="2" t="s">
        <v>234</v>
      </c>
      <c r="H22" s="2">
        <v>1</v>
      </c>
      <c r="I22" s="2" t="s">
        <v>279</v>
      </c>
      <c r="J22" s="2" t="s">
        <v>236</v>
      </c>
      <c r="K22" s="2" t="s">
        <v>34</v>
      </c>
      <c r="L22" s="2" t="s">
        <v>35</v>
      </c>
      <c r="M22" s="3">
        <v>914</v>
      </c>
      <c r="N22" s="3">
        <v>2134</v>
      </c>
      <c r="O22" s="2" t="s">
        <v>36</v>
      </c>
      <c r="P22" s="2" t="s">
        <v>254</v>
      </c>
      <c r="Q22" s="2" t="s">
        <v>41</v>
      </c>
      <c r="R22" s="2" t="s">
        <v>42</v>
      </c>
      <c r="S22" s="2" t="s">
        <v>238</v>
      </c>
      <c r="T22" s="2">
        <v>18</v>
      </c>
      <c r="U22" s="2" t="s">
        <v>42</v>
      </c>
      <c r="V22" s="2" t="s">
        <v>41</v>
      </c>
      <c r="W22" s="2" t="s">
        <v>42</v>
      </c>
      <c r="X22" s="2" t="s">
        <v>254</v>
      </c>
      <c r="Y22" s="2" t="s">
        <v>43</v>
      </c>
      <c r="Z22" s="2">
        <v>16</v>
      </c>
      <c r="AA22" s="2" t="s">
        <v>42</v>
      </c>
      <c r="AB22" s="45"/>
      <c r="AC22" s="45" t="s">
        <v>249</v>
      </c>
      <c r="AD22" s="46">
        <v>4</v>
      </c>
      <c r="AE22" s="45" t="s">
        <v>59</v>
      </c>
    </row>
    <row r="23" spans="1:31">
      <c r="A23" s="2" t="s">
        <v>280</v>
      </c>
      <c r="B23" s="45"/>
      <c r="C23" s="45"/>
      <c r="D23" s="2" t="s">
        <v>118</v>
      </c>
      <c r="E23" s="3">
        <v>124</v>
      </c>
      <c r="F23" s="2" t="s">
        <v>30</v>
      </c>
      <c r="G23" s="2" t="s">
        <v>234</v>
      </c>
      <c r="H23" s="2">
        <v>1</v>
      </c>
      <c r="I23" s="2" t="s">
        <v>279</v>
      </c>
      <c r="J23" s="2" t="s">
        <v>236</v>
      </c>
      <c r="K23" s="2" t="s">
        <v>34</v>
      </c>
      <c r="L23" s="2" t="s">
        <v>35</v>
      </c>
      <c r="M23" s="3">
        <v>914</v>
      </c>
      <c r="N23" s="3">
        <v>2134</v>
      </c>
      <c r="O23" s="2" t="s">
        <v>36</v>
      </c>
      <c r="P23" s="2" t="s">
        <v>254</v>
      </c>
      <c r="Q23" s="2" t="s">
        <v>41</v>
      </c>
      <c r="R23" s="2" t="s">
        <v>42</v>
      </c>
      <c r="S23" s="2" t="s">
        <v>238</v>
      </c>
      <c r="T23" s="2">
        <v>18</v>
      </c>
      <c r="U23" s="2" t="s">
        <v>42</v>
      </c>
      <c r="V23" s="2" t="s">
        <v>41</v>
      </c>
      <c r="W23" s="2" t="s">
        <v>42</v>
      </c>
      <c r="X23" s="2" t="s">
        <v>254</v>
      </c>
      <c r="Y23" s="2" t="s">
        <v>43</v>
      </c>
      <c r="Z23" s="2">
        <v>16</v>
      </c>
      <c r="AA23" s="2" t="s">
        <v>42</v>
      </c>
      <c r="AB23" s="45"/>
      <c r="AC23" s="45" t="s">
        <v>249</v>
      </c>
      <c r="AD23" s="46">
        <v>4</v>
      </c>
      <c r="AE23" s="45" t="s">
        <v>59</v>
      </c>
    </row>
    <row r="24" spans="1:31">
      <c r="A24" s="2" t="s">
        <v>281</v>
      </c>
      <c r="B24" s="45"/>
      <c r="C24" s="45"/>
      <c r="D24" s="2" t="s">
        <v>118</v>
      </c>
      <c r="E24" s="3">
        <v>124</v>
      </c>
      <c r="F24" s="2" t="s">
        <v>30</v>
      </c>
      <c r="G24" s="2" t="s">
        <v>31</v>
      </c>
      <c r="H24" s="2">
        <v>1</v>
      </c>
      <c r="I24" s="2" t="s">
        <v>56</v>
      </c>
      <c r="J24" s="2" t="s">
        <v>57</v>
      </c>
      <c r="K24" s="2" t="s">
        <v>66</v>
      </c>
      <c r="L24" s="2" t="s">
        <v>35</v>
      </c>
      <c r="M24" s="3">
        <v>1828</v>
      </c>
      <c r="N24" s="3">
        <v>2134</v>
      </c>
      <c r="O24" s="2" t="s">
        <v>36</v>
      </c>
      <c r="P24" s="2" t="s">
        <v>265</v>
      </c>
      <c r="Q24" s="2" t="s">
        <v>41</v>
      </c>
      <c r="R24" s="2" t="s">
        <v>42</v>
      </c>
      <c r="S24" s="2" t="s">
        <v>238</v>
      </c>
      <c r="T24" s="2">
        <v>18</v>
      </c>
      <c r="U24" s="2" t="s">
        <v>42</v>
      </c>
      <c r="V24" s="2" t="s">
        <v>41</v>
      </c>
      <c r="W24" s="2" t="s">
        <v>42</v>
      </c>
      <c r="X24" s="2"/>
      <c r="Y24" s="2" t="s">
        <v>43</v>
      </c>
      <c r="Z24" s="2">
        <v>16</v>
      </c>
      <c r="AA24" s="2" t="s">
        <v>42</v>
      </c>
      <c r="AB24" s="45"/>
      <c r="AC24" s="45" t="s">
        <v>58</v>
      </c>
      <c r="AD24" s="46">
        <v>20</v>
      </c>
      <c r="AE24" s="45" t="s">
        <v>282</v>
      </c>
    </row>
    <row r="25" spans="1:31">
      <c r="A25" s="2" t="s">
        <v>283</v>
      </c>
      <c r="B25" s="2" t="s">
        <v>284</v>
      </c>
      <c r="C25" s="3">
        <v>125</v>
      </c>
      <c r="D25" s="2" t="s">
        <v>54</v>
      </c>
      <c r="E25" s="2" t="s">
        <v>55</v>
      </c>
      <c r="F25" s="2" t="s">
        <v>30</v>
      </c>
      <c r="G25" s="2" t="s">
        <v>31</v>
      </c>
      <c r="H25" s="2">
        <v>1</v>
      </c>
      <c r="I25" s="2" t="s">
        <v>64</v>
      </c>
      <c r="J25" s="2" t="s">
        <v>65</v>
      </c>
      <c r="K25" s="2" t="s">
        <v>34</v>
      </c>
      <c r="L25" s="2" t="s">
        <v>35</v>
      </c>
      <c r="M25" s="3">
        <v>914</v>
      </c>
      <c r="N25" s="3">
        <v>2134</v>
      </c>
      <c r="O25" s="2" t="s">
        <v>36</v>
      </c>
      <c r="P25" s="2" t="s">
        <v>285</v>
      </c>
      <c r="Q25" s="2" t="s">
        <v>41</v>
      </c>
      <c r="R25" s="2" t="s">
        <v>42</v>
      </c>
      <c r="S25" s="2" t="s">
        <v>238</v>
      </c>
      <c r="T25" s="2">
        <v>18</v>
      </c>
      <c r="U25" s="2" t="s">
        <v>42</v>
      </c>
      <c r="V25" s="2" t="s">
        <v>41</v>
      </c>
      <c r="W25" s="2" t="s">
        <v>42</v>
      </c>
      <c r="X25" s="2"/>
      <c r="Y25" s="2" t="s">
        <v>43</v>
      </c>
      <c r="Z25" s="2">
        <v>16</v>
      </c>
      <c r="AA25" s="2" t="s">
        <v>42</v>
      </c>
      <c r="AB25" s="2" t="s">
        <v>213</v>
      </c>
      <c r="AC25" s="45" t="s">
        <v>88</v>
      </c>
      <c r="AD25" s="46">
        <v>43</v>
      </c>
      <c r="AE25" s="2" t="s">
        <v>286</v>
      </c>
    </row>
    <row r="26" spans="1:31">
      <c r="A26" s="2" t="s">
        <v>287</v>
      </c>
      <c r="B26" s="2" t="s">
        <v>288</v>
      </c>
      <c r="C26" s="2" t="s">
        <v>289</v>
      </c>
      <c r="D26" s="45"/>
      <c r="E26" s="45"/>
      <c r="F26" s="2" t="s">
        <v>30</v>
      </c>
      <c r="G26" s="2" t="s">
        <v>234</v>
      </c>
      <c r="H26" s="2">
        <v>1</v>
      </c>
      <c r="I26" s="2" t="s">
        <v>235</v>
      </c>
      <c r="J26" s="2" t="s">
        <v>236</v>
      </c>
      <c r="K26" s="2" t="s">
        <v>34</v>
      </c>
      <c r="L26" s="2" t="s">
        <v>35</v>
      </c>
      <c r="M26" s="3">
        <v>914</v>
      </c>
      <c r="N26" s="3">
        <v>2134</v>
      </c>
      <c r="O26" s="2" t="s">
        <v>36</v>
      </c>
      <c r="P26" s="2" t="s">
        <v>290</v>
      </c>
      <c r="Q26" s="2" t="s">
        <v>41</v>
      </c>
      <c r="R26" s="2" t="s">
        <v>42</v>
      </c>
      <c r="S26" s="2" t="s">
        <v>238</v>
      </c>
      <c r="T26" s="2">
        <v>18</v>
      </c>
      <c r="U26" s="2" t="s">
        <v>42</v>
      </c>
      <c r="V26" s="2" t="s">
        <v>41</v>
      </c>
      <c r="W26" s="2" t="s">
        <v>42</v>
      </c>
      <c r="X26" s="2"/>
      <c r="Y26" s="2" t="s">
        <v>43</v>
      </c>
      <c r="Z26" s="2">
        <v>16</v>
      </c>
      <c r="AA26" s="2" t="s">
        <v>42</v>
      </c>
      <c r="AB26" s="45"/>
      <c r="AC26" s="45" t="s">
        <v>88</v>
      </c>
      <c r="AD26" s="46">
        <v>7</v>
      </c>
      <c r="AE26" s="45" t="s">
        <v>59</v>
      </c>
    </row>
    <row r="27" spans="1:31">
      <c r="A27" s="2" t="s">
        <v>291</v>
      </c>
      <c r="B27" s="2" t="s">
        <v>212</v>
      </c>
      <c r="C27" s="2" t="s">
        <v>292</v>
      </c>
      <c r="D27" s="45"/>
      <c r="E27" s="45"/>
      <c r="F27" s="2" t="s">
        <v>30</v>
      </c>
      <c r="G27" s="2" t="s">
        <v>234</v>
      </c>
      <c r="H27" s="2">
        <v>1</v>
      </c>
      <c r="I27" s="2" t="s">
        <v>235</v>
      </c>
      <c r="J27" s="2" t="s">
        <v>236</v>
      </c>
      <c r="K27" s="2" t="s">
        <v>34</v>
      </c>
      <c r="L27" s="2" t="s">
        <v>35</v>
      </c>
      <c r="M27" s="3">
        <v>914</v>
      </c>
      <c r="N27" s="3">
        <v>2134</v>
      </c>
      <c r="O27" s="2" t="s">
        <v>36</v>
      </c>
      <c r="P27" s="2" t="s">
        <v>290</v>
      </c>
      <c r="Q27" s="2" t="s">
        <v>41</v>
      </c>
      <c r="R27" s="2" t="s">
        <v>42</v>
      </c>
      <c r="S27" s="2" t="s">
        <v>238</v>
      </c>
      <c r="T27" s="2">
        <v>18</v>
      </c>
      <c r="U27" s="2" t="s">
        <v>42</v>
      </c>
      <c r="V27" s="2" t="s">
        <v>41</v>
      </c>
      <c r="W27" s="2" t="s">
        <v>42</v>
      </c>
      <c r="X27" s="2"/>
      <c r="Y27" s="2" t="s">
        <v>43</v>
      </c>
      <c r="Z27" s="2">
        <v>16</v>
      </c>
      <c r="AA27" s="2" t="s">
        <v>42</v>
      </c>
      <c r="AB27" s="45"/>
      <c r="AC27" s="45" t="s">
        <v>88</v>
      </c>
      <c r="AD27" s="46">
        <v>7</v>
      </c>
      <c r="AE27" s="45" t="s">
        <v>59</v>
      </c>
    </row>
    <row r="28" spans="1:31">
      <c r="A28" s="2" t="s">
        <v>293</v>
      </c>
      <c r="B28" s="2" t="s">
        <v>142</v>
      </c>
      <c r="C28" s="3">
        <v>127</v>
      </c>
      <c r="D28" s="45"/>
      <c r="E28" s="45"/>
      <c r="F28" s="2" t="s">
        <v>30</v>
      </c>
      <c r="G28" s="2" t="s">
        <v>234</v>
      </c>
      <c r="H28" s="2">
        <v>1</v>
      </c>
      <c r="I28" s="2" t="s">
        <v>247</v>
      </c>
      <c r="J28" s="2" t="s">
        <v>236</v>
      </c>
      <c r="K28" s="2" t="s">
        <v>34</v>
      </c>
      <c r="L28" s="2" t="s">
        <v>35</v>
      </c>
      <c r="M28" s="3">
        <v>914</v>
      </c>
      <c r="N28" s="3">
        <v>2134</v>
      </c>
      <c r="O28" s="2" t="s">
        <v>36</v>
      </c>
      <c r="P28" s="2" t="s">
        <v>254</v>
      </c>
      <c r="Q28" s="2" t="s">
        <v>41</v>
      </c>
      <c r="R28" s="2" t="s">
        <v>42</v>
      </c>
      <c r="S28" s="2" t="s">
        <v>238</v>
      </c>
      <c r="T28" s="2">
        <v>18</v>
      </c>
      <c r="U28" s="2" t="s">
        <v>42</v>
      </c>
      <c r="V28" s="2" t="s">
        <v>41</v>
      </c>
      <c r="W28" s="2" t="s">
        <v>42</v>
      </c>
      <c r="X28" s="2" t="s">
        <v>254</v>
      </c>
      <c r="Y28" s="2" t="s">
        <v>43</v>
      </c>
      <c r="Z28" s="2">
        <v>16</v>
      </c>
      <c r="AA28" s="2" t="s">
        <v>42</v>
      </c>
      <c r="AB28" s="45"/>
      <c r="AC28" s="45" t="s">
        <v>249</v>
      </c>
      <c r="AD28" s="46">
        <v>5</v>
      </c>
      <c r="AE28" s="45" t="s">
        <v>89</v>
      </c>
    </row>
    <row r="29" spans="1:31">
      <c r="A29" s="2" t="s">
        <v>294</v>
      </c>
      <c r="B29" s="45"/>
      <c r="C29" s="45"/>
      <c r="D29" s="2" t="s">
        <v>142</v>
      </c>
      <c r="E29" s="3">
        <v>131</v>
      </c>
      <c r="F29" s="2" t="s">
        <v>30</v>
      </c>
      <c r="G29" s="2" t="s">
        <v>234</v>
      </c>
      <c r="H29" s="2">
        <v>1</v>
      </c>
      <c r="I29" s="2" t="s">
        <v>247</v>
      </c>
      <c r="J29" s="2" t="s">
        <v>236</v>
      </c>
      <c r="K29" s="2" t="s">
        <v>34</v>
      </c>
      <c r="L29" s="2" t="s">
        <v>35</v>
      </c>
      <c r="M29" s="3">
        <v>914</v>
      </c>
      <c r="N29" s="3">
        <v>2134</v>
      </c>
      <c r="O29" s="2" t="s">
        <v>36</v>
      </c>
      <c r="P29" s="2" t="s">
        <v>254</v>
      </c>
      <c r="Q29" s="2" t="s">
        <v>41</v>
      </c>
      <c r="R29" s="2" t="s">
        <v>42</v>
      </c>
      <c r="S29" s="2" t="s">
        <v>238</v>
      </c>
      <c r="T29" s="2">
        <v>18</v>
      </c>
      <c r="U29" s="2" t="s">
        <v>42</v>
      </c>
      <c r="V29" s="2" t="s">
        <v>41</v>
      </c>
      <c r="W29" s="2" t="s">
        <v>42</v>
      </c>
      <c r="X29" s="2" t="s">
        <v>254</v>
      </c>
      <c r="Y29" s="2" t="s">
        <v>43</v>
      </c>
      <c r="Z29" s="2">
        <v>16</v>
      </c>
      <c r="AA29" s="2" t="s">
        <v>42</v>
      </c>
      <c r="AB29" s="45"/>
      <c r="AC29" s="45" t="s">
        <v>249</v>
      </c>
      <c r="AD29" s="46">
        <v>5</v>
      </c>
      <c r="AE29" s="45" t="s">
        <v>89</v>
      </c>
    </row>
    <row r="30" spans="1:31">
      <c r="A30" s="2" t="s">
        <v>295</v>
      </c>
      <c r="B30" s="2" t="s">
        <v>179</v>
      </c>
      <c r="C30" s="3">
        <v>216</v>
      </c>
      <c r="D30" s="2" t="s">
        <v>284</v>
      </c>
      <c r="E30" s="2" t="s">
        <v>296</v>
      </c>
      <c r="F30" s="2" t="s">
        <v>159</v>
      </c>
      <c r="G30" s="2" t="s">
        <v>31</v>
      </c>
      <c r="H30" s="2">
        <v>1</v>
      </c>
      <c r="I30" s="2" t="s">
        <v>32</v>
      </c>
      <c r="J30" s="2" t="s">
        <v>33</v>
      </c>
      <c r="K30" s="2" t="s">
        <v>34</v>
      </c>
      <c r="L30" s="2" t="s">
        <v>35</v>
      </c>
      <c r="M30" s="3">
        <v>914</v>
      </c>
      <c r="N30" s="3">
        <v>2134</v>
      </c>
      <c r="O30" s="2" t="s">
        <v>36</v>
      </c>
      <c r="P30" s="2" t="s">
        <v>285</v>
      </c>
      <c r="Q30" s="2" t="s">
        <v>41</v>
      </c>
      <c r="R30" s="2" t="s">
        <v>42</v>
      </c>
      <c r="S30" s="2" t="s">
        <v>238</v>
      </c>
      <c r="T30" s="2">
        <v>18</v>
      </c>
      <c r="U30" s="2" t="s">
        <v>42</v>
      </c>
      <c r="V30" s="2" t="s">
        <v>41</v>
      </c>
      <c r="W30" s="2" t="s">
        <v>42</v>
      </c>
      <c r="X30" s="2"/>
      <c r="Y30" s="2" t="s">
        <v>43</v>
      </c>
      <c r="Z30" s="2">
        <v>16</v>
      </c>
      <c r="AA30" s="2" t="s">
        <v>42</v>
      </c>
      <c r="AB30" s="2" t="s">
        <v>213</v>
      </c>
      <c r="AC30" s="45" t="s">
        <v>88</v>
      </c>
      <c r="AD30" s="46">
        <v>43</v>
      </c>
      <c r="AE30" s="2" t="s">
        <v>297</v>
      </c>
    </row>
    <row r="31" spans="1:31">
      <c r="A31" s="2" t="s">
        <v>298</v>
      </c>
      <c r="B31" s="2" t="s">
        <v>299</v>
      </c>
      <c r="C31" s="3">
        <v>227</v>
      </c>
      <c r="D31" s="45"/>
      <c r="E31" s="45"/>
      <c r="F31" s="2" t="s">
        <v>159</v>
      </c>
      <c r="G31" s="2" t="s">
        <v>234</v>
      </c>
      <c r="H31" s="2">
        <v>1</v>
      </c>
      <c r="I31" s="2" t="s">
        <v>262</v>
      </c>
      <c r="J31" s="2" t="s">
        <v>236</v>
      </c>
      <c r="K31" s="2" t="s">
        <v>66</v>
      </c>
      <c r="L31" s="2" t="s">
        <v>35</v>
      </c>
      <c r="M31" s="3">
        <v>1828</v>
      </c>
      <c r="N31" s="3">
        <v>2134</v>
      </c>
      <c r="O31" s="2" t="s">
        <v>36</v>
      </c>
      <c r="P31" s="2" t="s">
        <v>267</v>
      </c>
      <c r="Q31" s="2" t="s">
        <v>41</v>
      </c>
      <c r="R31" s="2" t="s">
        <v>42</v>
      </c>
      <c r="S31" s="2" t="s">
        <v>238</v>
      </c>
      <c r="T31" s="2">
        <v>18</v>
      </c>
      <c r="U31" s="2" t="s">
        <v>42</v>
      </c>
      <c r="V31" s="2" t="s">
        <v>41</v>
      </c>
      <c r="W31" s="2" t="s">
        <v>42</v>
      </c>
      <c r="X31" s="2"/>
      <c r="Y31" s="2" t="s">
        <v>43</v>
      </c>
      <c r="Z31" s="2">
        <v>16</v>
      </c>
      <c r="AA31" s="2" t="s">
        <v>42</v>
      </c>
      <c r="AB31" s="2" t="s">
        <v>213</v>
      </c>
      <c r="AC31" s="45" t="s">
        <v>88</v>
      </c>
      <c r="AD31" s="46">
        <v>6</v>
      </c>
      <c r="AE31" s="2" t="s">
        <v>269</v>
      </c>
    </row>
    <row r="32" spans="1:31">
      <c r="A32" s="2" t="s">
        <v>300</v>
      </c>
      <c r="B32" s="2" t="s">
        <v>54</v>
      </c>
      <c r="C32" s="2" t="s">
        <v>55</v>
      </c>
      <c r="D32" s="45"/>
      <c r="E32" s="45"/>
      <c r="F32" s="2" t="s">
        <v>30</v>
      </c>
      <c r="G32" s="2" t="s">
        <v>234</v>
      </c>
      <c r="H32" s="2">
        <v>1</v>
      </c>
      <c r="I32" s="2" t="s">
        <v>301</v>
      </c>
      <c r="J32" s="2" t="s">
        <v>236</v>
      </c>
      <c r="K32" s="2" t="s">
        <v>66</v>
      </c>
      <c r="L32" s="2" t="s">
        <v>35</v>
      </c>
      <c r="M32" s="3">
        <v>1828</v>
      </c>
      <c r="N32" s="3">
        <v>2134</v>
      </c>
      <c r="O32" s="2" t="s">
        <v>36</v>
      </c>
      <c r="P32" s="2" t="s">
        <v>258</v>
      </c>
      <c r="Q32" s="2" t="s">
        <v>41</v>
      </c>
      <c r="R32" s="2" t="s">
        <v>42</v>
      </c>
      <c r="S32" s="2" t="s">
        <v>238</v>
      </c>
      <c r="T32" s="2">
        <v>18</v>
      </c>
      <c r="U32" s="2" t="s">
        <v>42</v>
      </c>
      <c r="V32" s="2" t="s">
        <v>41</v>
      </c>
      <c r="W32" s="2" t="s">
        <v>42</v>
      </c>
      <c r="X32" s="2"/>
      <c r="Y32" s="2" t="s">
        <v>43</v>
      </c>
      <c r="Z32" s="2">
        <v>16</v>
      </c>
      <c r="AA32" s="2" t="s">
        <v>42</v>
      </c>
      <c r="AB32" s="45"/>
      <c r="AC32" s="45" t="s">
        <v>95</v>
      </c>
      <c r="AD32" s="46">
        <v>10</v>
      </c>
      <c r="AE32" s="45" t="s">
        <v>239</v>
      </c>
    </row>
    <row r="33" spans="1:31">
      <c r="A33" s="2" t="s">
        <v>302</v>
      </c>
      <c r="B33" s="2" t="s">
        <v>54</v>
      </c>
      <c r="C33" s="2" t="s">
        <v>55</v>
      </c>
      <c r="D33" s="45"/>
      <c r="E33" s="45"/>
      <c r="F33" s="2" t="s">
        <v>30</v>
      </c>
      <c r="G33" s="2" t="s">
        <v>234</v>
      </c>
      <c r="H33" s="2">
        <v>1</v>
      </c>
      <c r="I33" s="2" t="s">
        <v>303</v>
      </c>
      <c r="J33" s="2" t="s">
        <v>236</v>
      </c>
      <c r="K33" s="2" t="s">
        <v>66</v>
      </c>
      <c r="L33" s="2" t="s">
        <v>35</v>
      </c>
      <c r="M33" s="3">
        <v>1828</v>
      </c>
      <c r="N33" s="3">
        <v>2134</v>
      </c>
      <c r="O33" s="2" t="s">
        <v>36</v>
      </c>
      <c r="P33" s="2" t="s">
        <v>258</v>
      </c>
      <c r="Q33" s="2" t="s">
        <v>41</v>
      </c>
      <c r="R33" s="2" t="s">
        <v>42</v>
      </c>
      <c r="S33" s="2" t="s">
        <v>238</v>
      </c>
      <c r="T33" s="2">
        <v>18</v>
      </c>
      <c r="U33" s="2" t="s">
        <v>42</v>
      </c>
      <c r="V33" s="2" t="s">
        <v>41</v>
      </c>
      <c r="W33" s="2" t="s">
        <v>42</v>
      </c>
      <c r="X33" s="2"/>
      <c r="Y33" s="2" t="s">
        <v>43</v>
      </c>
      <c r="Z33" s="2">
        <v>16</v>
      </c>
      <c r="AA33" s="2" t="s">
        <v>42</v>
      </c>
      <c r="AB33" s="2" t="s">
        <v>213</v>
      </c>
      <c r="AC33" s="2" t="s">
        <v>95</v>
      </c>
      <c r="AD33" s="46">
        <v>9</v>
      </c>
      <c r="AE33" s="2" t="s">
        <v>239</v>
      </c>
    </row>
    <row r="34" spans="1:31">
      <c r="A34" s="2" t="s">
        <v>304</v>
      </c>
      <c r="B34" s="45"/>
      <c r="C34" s="45"/>
      <c r="D34" s="2" t="s">
        <v>54</v>
      </c>
      <c r="E34" s="2" t="s">
        <v>98</v>
      </c>
      <c r="F34" s="2" t="s">
        <v>30</v>
      </c>
      <c r="G34" s="2" t="s">
        <v>234</v>
      </c>
      <c r="H34" s="2">
        <v>1</v>
      </c>
      <c r="I34" s="2" t="s">
        <v>262</v>
      </c>
      <c r="J34" s="2" t="s">
        <v>236</v>
      </c>
      <c r="K34" s="2" t="s">
        <v>34</v>
      </c>
      <c r="L34" s="2" t="s">
        <v>35</v>
      </c>
      <c r="M34" s="3">
        <v>914</v>
      </c>
      <c r="N34" s="3">
        <v>2134</v>
      </c>
      <c r="O34" s="2" t="s">
        <v>36</v>
      </c>
      <c r="P34" s="2" t="s">
        <v>248</v>
      </c>
      <c r="Q34" s="2" t="s">
        <v>41</v>
      </c>
      <c r="R34" s="2" t="s">
        <v>42</v>
      </c>
      <c r="S34" s="2" t="s">
        <v>238</v>
      </c>
      <c r="T34" s="2">
        <v>18</v>
      </c>
      <c r="U34" s="2" t="s">
        <v>42</v>
      </c>
      <c r="V34" s="2" t="s">
        <v>41</v>
      </c>
      <c r="W34" s="2" t="s">
        <v>42</v>
      </c>
      <c r="X34" s="2"/>
      <c r="Y34" s="2" t="s">
        <v>43</v>
      </c>
      <c r="Z34" s="2">
        <v>16</v>
      </c>
      <c r="AA34" s="2" t="s">
        <v>42</v>
      </c>
      <c r="AB34" s="45"/>
      <c r="AC34" s="45" t="s">
        <v>95</v>
      </c>
      <c r="AD34" s="46">
        <v>11</v>
      </c>
      <c r="AE34" s="45" t="s">
        <v>305</v>
      </c>
    </row>
    <row r="35" spans="1:31">
      <c r="A35" s="2" t="s">
        <v>306</v>
      </c>
      <c r="B35" s="2" t="s">
        <v>54</v>
      </c>
      <c r="C35" s="2" t="s">
        <v>55</v>
      </c>
      <c r="D35" s="2" t="s">
        <v>307</v>
      </c>
      <c r="E35" s="2" t="s">
        <v>308</v>
      </c>
      <c r="F35" s="2" t="s">
        <v>30</v>
      </c>
      <c r="G35" s="2" t="s">
        <v>31</v>
      </c>
      <c r="H35" s="2">
        <v>1</v>
      </c>
      <c r="I35" s="2" t="s">
        <v>37</v>
      </c>
      <c r="J35" s="2" t="s">
        <v>236</v>
      </c>
      <c r="K35" s="2" t="s">
        <v>66</v>
      </c>
      <c r="L35" s="2" t="s">
        <v>35</v>
      </c>
      <c r="M35" s="3">
        <v>1828</v>
      </c>
      <c r="N35" s="3">
        <v>2134</v>
      </c>
      <c r="O35" s="2" t="s">
        <v>36</v>
      </c>
      <c r="P35" s="2" t="s">
        <v>309</v>
      </c>
      <c r="Q35" s="2" t="s">
        <v>41</v>
      </c>
      <c r="R35" s="2" t="s">
        <v>42</v>
      </c>
      <c r="S35" s="2" t="s">
        <v>238</v>
      </c>
      <c r="T35" s="2">
        <v>18</v>
      </c>
      <c r="U35" s="2" t="s">
        <v>42</v>
      </c>
      <c r="V35" s="2" t="s">
        <v>41</v>
      </c>
      <c r="W35" s="2" t="s">
        <v>42</v>
      </c>
      <c r="X35" s="2"/>
      <c r="Y35" s="2" t="s">
        <v>43</v>
      </c>
      <c r="Z35" s="2">
        <v>16</v>
      </c>
      <c r="AA35" s="2" t="s">
        <v>42</v>
      </c>
      <c r="AB35" s="2" t="s">
        <v>213</v>
      </c>
      <c r="AC35" s="2" t="s">
        <v>95</v>
      </c>
      <c r="AD35" s="46">
        <v>42</v>
      </c>
      <c r="AE35" s="2" t="s">
        <v>96</v>
      </c>
    </row>
    <row r="36" spans="1:31">
      <c r="A36" s="2" t="s">
        <v>310</v>
      </c>
      <c r="B36" s="2" t="s">
        <v>307</v>
      </c>
      <c r="C36" s="2" t="s">
        <v>308</v>
      </c>
      <c r="D36" s="45"/>
      <c r="E36" s="45"/>
      <c r="F36" s="2" t="s">
        <v>30</v>
      </c>
      <c r="G36" s="2" t="s">
        <v>234</v>
      </c>
      <c r="H36" s="2">
        <v>1</v>
      </c>
      <c r="I36" s="2" t="s">
        <v>37</v>
      </c>
      <c r="J36" s="2" t="s">
        <v>236</v>
      </c>
      <c r="K36" s="2" t="s">
        <v>66</v>
      </c>
      <c r="L36" s="2" t="s">
        <v>35</v>
      </c>
      <c r="M36" s="3">
        <v>1828</v>
      </c>
      <c r="N36" s="3">
        <v>2134</v>
      </c>
      <c r="O36" s="2" t="s">
        <v>36</v>
      </c>
      <c r="P36" s="2" t="s">
        <v>258</v>
      </c>
      <c r="Q36" s="2" t="s">
        <v>41</v>
      </c>
      <c r="R36" s="2" t="s">
        <v>42</v>
      </c>
      <c r="S36" s="2" t="s">
        <v>238</v>
      </c>
      <c r="T36" s="2">
        <v>18</v>
      </c>
      <c r="U36" s="2" t="s">
        <v>42</v>
      </c>
      <c r="V36" s="2" t="s">
        <v>41</v>
      </c>
      <c r="W36" s="2" t="s">
        <v>42</v>
      </c>
      <c r="X36" s="2"/>
      <c r="Y36" s="2" t="s">
        <v>43</v>
      </c>
      <c r="Z36" s="2">
        <v>16</v>
      </c>
      <c r="AA36" s="2" t="s">
        <v>42</v>
      </c>
      <c r="AB36" s="45"/>
      <c r="AC36" s="45" t="s">
        <v>95</v>
      </c>
      <c r="AD36" s="46">
        <v>10</v>
      </c>
      <c r="AE36" s="45" t="s">
        <v>239</v>
      </c>
    </row>
    <row r="37" spans="1:31">
      <c r="A37" s="2" t="s">
        <v>311</v>
      </c>
      <c r="B37" s="2" t="s">
        <v>54</v>
      </c>
      <c r="C37" s="2" t="s">
        <v>157</v>
      </c>
      <c r="D37" s="2" t="s">
        <v>307</v>
      </c>
      <c r="E37" s="2" t="s">
        <v>308</v>
      </c>
      <c r="F37" s="2" t="s">
        <v>159</v>
      </c>
      <c r="G37" s="2" t="s">
        <v>31</v>
      </c>
      <c r="H37" s="2">
        <v>1</v>
      </c>
      <c r="I37" s="2" t="s">
        <v>37</v>
      </c>
      <c r="J37" s="2" t="s">
        <v>236</v>
      </c>
      <c r="K37" s="2" t="s">
        <v>66</v>
      </c>
      <c r="L37" s="2" t="s">
        <v>35</v>
      </c>
      <c r="M37" s="3">
        <v>1828</v>
      </c>
      <c r="N37" s="3">
        <v>2134</v>
      </c>
      <c r="O37" s="2" t="s">
        <v>36</v>
      </c>
      <c r="P37" s="2" t="s">
        <v>309</v>
      </c>
      <c r="Q37" s="2" t="s">
        <v>41</v>
      </c>
      <c r="R37" s="2" t="s">
        <v>42</v>
      </c>
      <c r="S37" s="2" t="s">
        <v>238</v>
      </c>
      <c r="T37" s="2">
        <v>18</v>
      </c>
      <c r="U37" s="2" t="s">
        <v>42</v>
      </c>
      <c r="V37" s="2" t="s">
        <v>41</v>
      </c>
      <c r="W37" s="2" t="s">
        <v>42</v>
      </c>
      <c r="X37" s="2"/>
      <c r="Y37" s="2" t="s">
        <v>43</v>
      </c>
      <c r="Z37" s="2">
        <v>16</v>
      </c>
      <c r="AA37" s="2" t="s">
        <v>42</v>
      </c>
      <c r="AB37" s="2" t="s">
        <v>213</v>
      </c>
      <c r="AC37" s="2" t="s">
        <v>95</v>
      </c>
      <c r="AD37" s="46">
        <v>42</v>
      </c>
      <c r="AE37" s="2" t="s">
        <v>96</v>
      </c>
    </row>
    <row r="38" spans="1:31">
      <c r="A38" s="2" t="s">
        <v>312</v>
      </c>
      <c r="B38" s="2" t="s">
        <v>54</v>
      </c>
      <c r="C38" s="2" t="s">
        <v>193</v>
      </c>
      <c r="D38" s="2" t="s">
        <v>307</v>
      </c>
      <c r="E38" s="2" t="s">
        <v>308</v>
      </c>
      <c r="F38" s="2" t="s">
        <v>194</v>
      </c>
      <c r="G38" s="2" t="s">
        <v>31</v>
      </c>
      <c r="H38" s="2">
        <v>1</v>
      </c>
      <c r="I38" s="2" t="s">
        <v>37</v>
      </c>
      <c r="J38" s="2" t="s">
        <v>236</v>
      </c>
      <c r="K38" s="2" t="s">
        <v>66</v>
      </c>
      <c r="L38" s="2" t="s">
        <v>35</v>
      </c>
      <c r="M38" s="3">
        <v>1828</v>
      </c>
      <c r="N38" s="3">
        <v>2134</v>
      </c>
      <c r="O38" s="2" t="s">
        <v>36</v>
      </c>
      <c r="P38" s="2" t="s">
        <v>309</v>
      </c>
      <c r="Q38" s="2" t="s">
        <v>41</v>
      </c>
      <c r="R38" s="2" t="s">
        <v>42</v>
      </c>
      <c r="S38" s="2" t="s">
        <v>238</v>
      </c>
      <c r="T38" s="2">
        <v>18</v>
      </c>
      <c r="U38" s="2" t="s">
        <v>42</v>
      </c>
      <c r="V38" s="2" t="s">
        <v>41</v>
      </c>
      <c r="W38" s="2" t="s">
        <v>42</v>
      </c>
      <c r="X38" s="2"/>
      <c r="Y38" s="2" t="s">
        <v>43</v>
      </c>
      <c r="Z38" s="2">
        <v>16</v>
      </c>
      <c r="AA38" s="2" t="s">
        <v>42</v>
      </c>
      <c r="AB38" s="2" t="s">
        <v>213</v>
      </c>
      <c r="AC38" s="2" t="s">
        <v>95</v>
      </c>
      <c r="AD38" s="46">
        <v>42</v>
      </c>
      <c r="AE38" s="2" t="s">
        <v>96</v>
      </c>
    </row>
    <row r="39" spans="1:31">
      <c r="A39" s="2" t="s">
        <v>313</v>
      </c>
      <c r="B39" s="45"/>
      <c r="C39" s="45"/>
      <c r="D39" s="2" t="s">
        <v>307</v>
      </c>
      <c r="E39" s="2" t="s">
        <v>308</v>
      </c>
      <c r="F39" s="2" t="s">
        <v>314</v>
      </c>
      <c r="G39" s="2" t="s">
        <v>234</v>
      </c>
      <c r="H39" s="2">
        <v>1</v>
      </c>
      <c r="I39" s="2" t="s">
        <v>315</v>
      </c>
      <c r="J39" s="2" t="s">
        <v>236</v>
      </c>
      <c r="K39" s="2" t="s">
        <v>34</v>
      </c>
      <c r="L39" s="2" t="s">
        <v>35</v>
      </c>
      <c r="M39" s="3">
        <v>914</v>
      </c>
      <c r="N39" s="3">
        <v>2134</v>
      </c>
      <c r="O39" s="2" t="s">
        <v>36</v>
      </c>
      <c r="P39" s="2" t="s">
        <v>290</v>
      </c>
      <c r="Q39" s="2" t="s">
        <v>41</v>
      </c>
      <c r="R39" s="2" t="s">
        <v>42</v>
      </c>
      <c r="S39" s="2" t="s">
        <v>238</v>
      </c>
      <c r="T39" s="2">
        <v>18</v>
      </c>
      <c r="U39" s="2" t="s">
        <v>42</v>
      </c>
      <c r="V39" s="2" t="s">
        <v>41</v>
      </c>
      <c r="W39" s="2" t="s">
        <v>42</v>
      </c>
      <c r="X39" s="2"/>
      <c r="Y39" s="2" t="s">
        <v>43</v>
      </c>
      <c r="Z39" s="2">
        <v>16</v>
      </c>
      <c r="AA39" s="2" t="s">
        <v>42</v>
      </c>
      <c r="AB39" s="2" t="s">
        <v>213</v>
      </c>
      <c r="AC39" s="45" t="s">
        <v>88</v>
      </c>
      <c r="AD39" s="46">
        <v>8</v>
      </c>
      <c r="AE39" s="2" t="s">
        <v>59</v>
      </c>
    </row>
    <row r="40" spans="1:31">
      <c r="A40" s="2" t="s">
        <v>316</v>
      </c>
      <c r="B40" s="2" t="s">
        <v>317</v>
      </c>
      <c r="C40" s="2" t="s">
        <v>318</v>
      </c>
      <c r="D40" s="2" t="s">
        <v>54</v>
      </c>
      <c r="E40" s="2" t="s">
        <v>193</v>
      </c>
      <c r="F40" s="2" t="s">
        <v>194</v>
      </c>
      <c r="G40" s="2" t="s">
        <v>31</v>
      </c>
      <c r="H40" s="2">
        <v>1</v>
      </c>
      <c r="I40" s="2" t="s">
        <v>32</v>
      </c>
      <c r="J40" s="2" t="s">
        <v>33</v>
      </c>
      <c r="K40" s="2" t="s">
        <v>34</v>
      </c>
      <c r="L40" s="2" t="s">
        <v>35</v>
      </c>
      <c r="M40" s="3">
        <v>914</v>
      </c>
      <c r="N40" s="3">
        <v>2134</v>
      </c>
      <c r="O40" s="2" t="s">
        <v>36</v>
      </c>
      <c r="P40" s="2" t="s">
        <v>244</v>
      </c>
      <c r="Q40" s="2" t="s">
        <v>41</v>
      </c>
      <c r="R40" s="2" t="s">
        <v>42</v>
      </c>
      <c r="S40" s="2" t="s">
        <v>238</v>
      </c>
      <c r="T40" s="2">
        <v>18</v>
      </c>
      <c r="U40" s="2" t="s">
        <v>42</v>
      </c>
      <c r="V40" s="2" t="s">
        <v>41</v>
      </c>
      <c r="W40" s="2" t="s">
        <v>42</v>
      </c>
      <c r="X40" s="2" t="s">
        <v>244</v>
      </c>
      <c r="Y40" s="2" t="s">
        <v>43</v>
      </c>
      <c r="Z40" s="2">
        <v>16</v>
      </c>
      <c r="AA40" s="2" t="s">
        <v>42</v>
      </c>
      <c r="AB40" s="2" t="s">
        <v>213</v>
      </c>
      <c r="AC40" s="2" t="s">
        <v>95</v>
      </c>
      <c r="AD40" s="46">
        <v>17</v>
      </c>
      <c r="AE40" s="2" t="s">
        <v>319</v>
      </c>
    </row>
    <row r="41" spans="1:31">
      <c r="A41" s="2" t="s">
        <v>320</v>
      </c>
      <c r="B41" s="2" t="s">
        <v>54</v>
      </c>
      <c r="C41" s="2" t="s">
        <v>55</v>
      </c>
      <c r="D41" s="2" t="s">
        <v>321</v>
      </c>
      <c r="E41" s="2" t="s">
        <v>322</v>
      </c>
      <c r="F41" s="2" t="s">
        <v>30</v>
      </c>
      <c r="G41" s="2" t="s">
        <v>31</v>
      </c>
      <c r="H41" s="2">
        <v>1</v>
      </c>
      <c r="I41" s="2" t="s">
        <v>37</v>
      </c>
      <c r="J41" s="2" t="s">
        <v>236</v>
      </c>
      <c r="K41" s="2" t="s">
        <v>66</v>
      </c>
      <c r="L41" s="2" t="s">
        <v>35</v>
      </c>
      <c r="M41" s="3">
        <v>1828</v>
      </c>
      <c r="N41" s="3">
        <v>2134</v>
      </c>
      <c r="O41" s="2" t="s">
        <v>36</v>
      </c>
      <c r="P41" s="2" t="s">
        <v>309</v>
      </c>
      <c r="Q41" s="2" t="s">
        <v>41</v>
      </c>
      <c r="R41" s="2" t="s">
        <v>42</v>
      </c>
      <c r="S41" s="2" t="s">
        <v>238</v>
      </c>
      <c r="T41" s="2">
        <v>18</v>
      </c>
      <c r="U41" s="2" t="s">
        <v>42</v>
      </c>
      <c r="V41" s="2" t="s">
        <v>41</v>
      </c>
      <c r="W41" s="2" t="s">
        <v>42</v>
      </c>
      <c r="X41" s="2"/>
      <c r="Y41" s="2" t="s">
        <v>43</v>
      </c>
      <c r="Z41" s="2">
        <v>16</v>
      </c>
      <c r="AA41" s="2" t="s">
        <v>42</v>
      </c>
      <c r="AB41" s="2" t="s">
        <v>213</v>
      </c>
      <c r="AC41" s="2" t="s">
        <v>95</v>
      </c>
      <c r="AD41" s="46">
        <v>16</v>
      </c>
      <c r="AE41" s="2" t="s">
        <v>96</v>
      </c>
    </row>
    <row r="42" spans="1:31">
      <c r="A42" s="2" t="s">
        <v>323</v>
      </c>
      <c r="B42" s="2" t="s">
        <v>321</v>
      </c>
      <c r="C42" s="2" t="s">
        <v>322</v>
      </c>
      <c r="D42" s="45"/>
      <c r="E42" s="45"/>
      <c r="F42" s="2" t="s">
        <v>30</v>
      </c>
      <c r="G42" s="2" t="s">
        <v>234</v>
      </c>
      <c r="H42" s="2">
        <v>1</v>
      </c>
      <c r="I42" s="2" t="s">
        <v>315</v>
      </c>
      <c r="J42" s="2" t="s">
        <v>236</v>
      </c>
      <c r="K42" s="2" t="s">
        <v>66</v>
      </c>
      <c r="L42" s="2" t="s">
        <v>35</v>
      </c>
      <c r="M42" s="3">
        <v>1828</v>
      </c>
      <c r="N42" s="3">
        <v>2134</v>
      </c>
      <c r="O42" s="2" t="s">
        <v>36</v>
      </c>
      <c r="P42" s="2" t="s">
        <v>258</v>
      </c>
      <c r="Q42" s="2" t="s">
        <v>41</v>
      </c>
      <c r="R42" s="2" t="s">
        <v>42</v>
      </c>
      <c r="S42" s="2" t="s">
        <v>238</v>
      </c>
      <c r="T42" s="2">
        <v>18</v>
      </c>
      <c r="U42" s="2" t="s">
        <v>42</v>
      </c>
      <c r="V42" s="2" t="s">
        <v>41</v>
      </c>
      <c r="W42" s="2" t="s">
        <v>42</v>
      </c>
      <c r="X42" s="2"/>
      <c r="Y42" s="2" t="s">
        <v>43</v>
      </c>
      <c r="Z42" s="2">
        <v>16</v>
      </c>
      <c r="AA42" s="2" t="s">
        <v>42</v>
      </c>
      <c r="AB42" s="45"/>
      <c r="AC42" s="45" t="s">
        <v>95</v>
      </c>
      <c r="AD42" s="46">
        <v>3</v>
      </c>
      <c r="AE42" s="45" t="s">
        <v>96</v>
      </c>
    </row>
    <row r="43" spans="1:31">
      <c r="A43" s="2" t="s">
        <v>324</v>
      </c>
      <c r="B43" s="2" t="s">
        <v>54</v>
      </c>
      <c r="C43" s="2" t="s">
        <v>157</v>
      </c>
      <c r="D43" s="2" t="s">
        <v>321</v>
      </c>
      <c r="E43" s="2" t="s">
        <v>322</v>
      </c>
      <c r="F43" s="2" t="s">
        <v>159</v>
      </c>
      <c r="G43" s="2" t="s">
        <v>31</v>
      </c>
      <c r="H43" s="2">
        <v>1</v>
      </c>
      <c r="I43" s="2" t="s">
        <v>37</v>
      </c>
      <c r="J43" s="2" t="s">
        <v>236</v>
      </c>
      <c r="K43" s="2" t="s">
        <v>66</v>
      </c>
      <c r="L43" s="2" t="s">
        <v>35</v>
      </c>
      <c r="M43" s="3">
        <v>1828</v>
      </c>
      <c r="N43" s="3">
        <v>2134</v>
      </c>
      <c r="O43" s="2" t="s">
        <v>36</v>
      </c>
      <c r="P43" s="2" t="s">
        <v>309</v>
      </c>
      <c r="Q43" s="2" t="s">
        <v>41</v>
      </c>
      <c r="R43" s="2" t="s">
        <v>42</v>
      </c>
      <c r="S43" s="2" t="s">
        <v>238</v>
      </c>
      <c r="T43" s="2">
        <v>18</v>
      </c>
      <c r="U43" s="2" t="s">
        <v>42</v>
      </c>
      <c r="V43" s="2" t="s">
        <v>41</v>
      </c>
      <c r="W43" s="2" t="s">
        <v>42</v>
      </c>
      <c r="X43" s="2"/>
      <c r="Y43" s="2" t="s">
        <v>43</v>
      </c>
      <c r="Z43" s="2">
        <v>16</v>
      </c>
      <c r="AA43" s="2" t="s">
        <v>42</v>
      </c>
      <c r="AB43" s="2" t="s">
        <v>213</v>
      </c>
      <c r="AC43" s="2" t="s">
        <v>95</v>
      </c>
      <c r="AD43" s="46">
        <v>16</v>
      </c>
      <c r="AE43" s="2" t="s">
        <v>96</v>
      </c>
    </row>
    <row r="44" spans="1:31">
      <c r="A44" s="2" t="s">
        <v>325</v>
      </c>
      <c r="B44" s="2" t="s">
        <v>54</v>
      </c>
      <c r="C44" s="2" t="s">
        <v>193</v>
      </c>
      <c r="D44" s="2" t="s">
        <v>321</v>
      </c>
      <c r="E44" s="2" t="s">
        <v>322</v>
      </c>
      <c r="F44" s="2" t="s">
        <v>194</v>
      </c>
      <c r="G44" s="2" t="s">
        <v>31</v>
      </c>
      <c r="H44" s="2">
        <v>1</v>
      </c>
      <c r="I44" s="2" t="s">
        <v>37</v>
      </c>
      <c r="J44" s="2" t="s">
        <v>236</v>
      </c>
      <c r="K44" s="2" t="s">
        <v>66</v>
      </c>
      <c r="L44" s="2" t="s">
        <v>35</v>
      </c>
      <c r="M44" s="3">
        <v>1828</v>
      </c>
      <c r="N44" s="3">
        <v>2134</v>
      </c>
      <c r="O44" s="2" t="s">
        <v>36</v>
      </c>
      <c r="P44" s="2" t="s">
        <v>309</v>
      </c>
      <c r="Q44" s="2" t="s">
        <v>41</v>
      </c>
      <c r="R44" s="2" t="s">
        <v>42</v>
      </c>
      <c r="S44" s="2" t="s">
        <v>238</v>
      </c>
      <c r="T44" s="2">
        <v>18</v>
      </c>
      <c r="U44" s="2" t="s">
        <v>42</v>
      </c>
      <c r="V44" s="2" t="s">
        <v>41</v>
      </c>
      <c r="W44" s="2" t="s">
        <v>42</v>
      </c>
      <c r="X44" s="2"/>
      <c r="Y44" s="2" t="s">
        <v>43</v>
      </c>
      <c r="Z44" s="2">
        <v>16</v>
      </c>
      <c r="AA44" s="2" t="s">
        <v>42</v>
      </c>
      <c r="AB44" s="2" t="s">
        <v>213</v>
      </c>
      <c r="AC44" s="2" t="s">
        <v>95</v>
      </c>
      <c r="AD44" s="46">
        <v>16</v>
      </c>
      <c r="AE44" s="2" t="s">
        <v>96</v>
      </c>
    </row>
    <row r="45" spans="1:31">
      <c r="H45" s="47">
        <f>SUM(H2:H44)</f>
        <v>43</v>
      </c>
    </row>
    <row r="49" spans="3:15">
      <c r="C49" s="65" t="s">
        <v>230</v>
      </c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7"/>
    </row>
  </sheetData>
  <mergeCells count="1">
    <mergeCell ref="C49:O4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7"/>
  <sheetViews>
    <sheetView tabSelected="1" zoomScaleNormal="100" workbookViewId="0">
      <pane ySplit="1" topLeftCell="A2" activePane="bottomLeft" state="frozen"/>
      <selection pane="bottomLeft" activeCell="G18" sqref="G18"/>
    </sheetView>
  </sheetViews>
  <sheetFormatPr defaultColWidth="9" defaultRowHeight="12.75"/>
  <cols>
    <col min="1" max="1" width="16.1640625" bestFit="1" customWidth="1"/>
    <col min="2" max="2" width="28.5" bestFit="1" customWidth="1"/>
    <col min="3" max="3" width="21.1640625" bestFit="1" customWidth="1"/>
    <col min="4" max="4" width="25.33203125" bestFit="1" customWidth="1"/>
    <col min="5" max="5" width="21.1640625" bestFit="1" customWidth="1"/>
    <col min="6" max="6" width="28.1640625" bestFit="1" customWidth="1"/>
    <col min="7" max="7" width="24.6640625" bestFit="1" customWidth="1"/>
    <col min="8" max="8" width="15.83203125" bestFit="1" customWidth="1"/>
    <col min="9" max="9" width="16.6640625" bestFit="1" customWidth="1"/>
    <col min="10" max="10" width="17.83203125" bestFit="1" customWidth="1"/>
    <col min="11" max="11" width="25.1640625" bestFit="1" customWidth="1"/>
    <col min="12" max="12" width="18.83203125" bestFit="1" customWidth="1"/>
    <col min="13" max="13" width="19.1640625" bestFit="1" customWidth="1"/>
    <col min="14" max="14" width="17.33203125" bestFit="1" customWidth="1"/>
    <col min="15" max="15" width="19.1640625" bestFit="1" customWidth="1"/>
    <col min="16" max="16" width="22.33203125" bestFit="1" customWidth="1"/>
    <col min="17" max="17" width="16.83203125" bestFit="1" customWidth="1"/>
    <col min="18" max="18" width="21.83203125" bestFit="1" customWidth="1"/>
    <col min="19" max="19" width="18.33203125" bestFit="1" customWidth="1"/>
    <col min="20" max="20" width="22.83203125" bestFit="1" customWidth="1"/>
    <col min="21" max="21" width="19.33203125" bestFit="1" customWidth="1"/>
    <col min="22" max="22" width="13.83203125" bestFit="1" customWidth="1"/>
    <col min="23" max="23" width="17.5" bestFit="1" customWidth="1"/>
    <col min="24" max="24" width="22.6640625" bestFit="1" customWidth="1"/>
    <col min="25" max="25" width="26" bestFit="1" customWidth="1"/>
    <col min="26" max="26" width="43.33203125" bestFit="1" customWidth="1"/>
    <col min="27" max="27" width="17.83203125" bestFit="1" customWidth="1"/>
    <col min="28" max="28" width="22.1640625" bestFit="1" customWidth="1"/>
    <col min="29" max="29" width="15.6640625" bestFit="1" customWidth="1"/>
    <col min="30" max="30" width="16.1640625" bestFit="1" customWidth="1"/>
    <col min="31" max="31" width="23.6640625" bestFit="1" customWidth="1"/>
  </cols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326</v>
      </c>
      <c r="L1" s="4" t="s">
        <v>9</v>
      </c>
      <c r="M1" s="4" t="s">
        <v>10</v>
      </c>
      <c r="N1" s="4" t="s">
        <v>11</v>
      </c>
      <c r="O1" s="4" t="s">
        <v>10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17</v>
      </c>
      <c r="U1" s="4" t="s">
        <v>18</v>
      </c>
      <c r="V1" s="4" t="s">
        <v>19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327</v>
      </c>
      <c r="AB1" s="4" t="s">
        <v>328</v>
      </c>
      <c r="AC1" s="4" t="s">
        <v>329</v>
      </c>
      <c r="AD1" s="4" t="s">
        <v>330</v>
      </c>
      <c r="AE1" s="4" t="s">
        <v>331</v>
      </c>
    </row>
    <row r="2" spans="1:31">
      <c r="A2" s="2" t="s">
        <v>232</v>
      </c>
      <c r="B2" s="2" t="s">
        <v>233</v>
      </c>
      <c r="C2" s="3">
        <v>101</v>
      </c>
      <c r="D2" s="45"/>
      <c r="E2" s="45"/>
      <c r="F2" s="2" t="s">
        <v>30</v>
      </c>
      <c r="G2" s="2" t="s">
        <v>234</v>
      </c>
      <c r="H2" s="2">
        <v>1</v>
      </c>
      <c r="I2" s="2" t="s">
        <v>235</v>
      </c>
      <c r="J2" s="2" t="s">
        <v>236</v>
      </c>
      <c r="K2" s="2"/>
      <c r="L2" s="2" t="s">
        <v>66</v>
      </c>
      <c r="M2" s="2" t="s">
        <v>35</v>
      </c>
      <c r="N2" s="3">
        <v>1828</v>
      </c>
      <c r="O2" s="3">
        <v>2134</v>
      </c>
      <c r="P2" s="2" t="s">
        <v>332</v>
      </c>
      <c r="Q2" s="2" t="s">
        <v>237</v>
      </c>
      <c r="R2" s="2" t="s">
        <v>41</v>
      </c>
      <c r="S2" s="2" t="s">
        <v>42</v>
      </c>
      <c r="T2" s="2" t="s">
        <v>41</v>
      </c>
      <c r="U2" s="2" t="s">
        <v>42</v>
      </c>
      <c r="V2" s="2" t="s">
        <v>237</v>
      </c>
      <c r="W2" s="45"/>
      <c r="X2" s="45" t="s">
        <v>95</v>
      </c>
      <c r="Y2" s="46">
        <v>10</v>
      </c>
      <c r="Z2" s="45" t="s">
        <v>239</v>
      </c>
      <c r="AA2" s="3">
        <v>0</v>
      </c>
      <c r="AB2" s="3">
        <v>0</v>
      </c>
      <c r="AC2" s="3">
        <v>0</v>
      </c>
      <c r="AD2" s="45"/>
      <c r="AE2" s="45"/>
    </row>
    <row r="3" spans="1:31">
      <c r="A3" s="2" t="s">
        <v>240</v>
      </c>
      <c r="B3" s="2" t="s">
        <v>54</v>
      </c>
      <c r="C3" s="2" t="s">
        <v>55</v>
      </c>
      <c r="D3" s="2" t="s">
        <v>233</v>
      </c>
      <c r="E3" s="3">
        <v>101</v>
      </c>
      <c r="F3" s="2" t="s">
        <v>30</v>
      </c>
      <c r="G3" s="2" t="s">
        <v>31</v>
      </c>
      <c r="H3" s="2">
        <v>1</v>
      </c>
      <c r="I3" s="2" t="s">
        <v>32</v>
      </c>
      <c r="J3" s="2" t="s">
        <v>33</v>
      </c>
      <c r="K3" s="2"/>
      <c r="L3" s="8" t="s">
        <v>66</v>
      </c>
      <c r="M3" s="2" t="s">
        <v>35</v>
      </c>
      <c r="N3" s="3">
        <v>1828</v>
      </c>
      <c r="O3" s="3">
        <v>2134</v>
      </c>
      <c r="P3" s="2" t="s">
        <v>332</v>
      </c>
      <c r="Q3" s="2" t="s">
        <v>241</v>
      </c>
      <c r="R3" s="2" t="s">
        <v>41</v>
      </c>
      <c r="S3" s="2" t="s">
        <v>42</v>
      </c>
      <c r="T3" s="2" t="s">
        <v>41</v>
      </c>
      <c r="U3" s="2" t="s">
        <v>42</v>
      </c>
      <c r="V3" s="2" t="s">
        <v>241</v>
      </c>
      <c r="W3" s="45"/>
      <c r="X3" s="45"/>
      <c r="Y3" s="46">
        <v>41</v>
      </c>
      <c r="Z3" s="45" t="s">
        <v>242</v>
      </c>
      <c r="AA3" s="3">
        <v>0</v>
      </c>
      <c r="AB3" s="3">
        <v>0</v>
      </c>
      <c r="AC3" s="45"/>
      <c r="AD3" s="45"/>
      <c r="AE3" s="45"/>
    </row>
    <row r="4" spans="1:31">
      <c r="A4" s="2" t="s">
        <v>243</v>
      </c>
      <c r="B4" s="2" t="s">
        <v>27</v>
      </c>
      <c r="C4" s="3">
        <v>102</v>
      </c>
      <c r="D4" s="2" t="s">
        <v>54</v>
      </c>
      <c r="E4" s="2" t="s">
        <v>55</v>
      </c>
      <c r="F4" s="2" t="s">
        <v>30</v>
      </c>
      <c r="G4" s="2" t="s">
        <v>31</v>
      </c>
      <c r="H4" s="2">
        <v>1</v>
      </c>
      <c r="I4" s="2" t="s">
        <v>64</v>
      </c>
      <c r="J4" s="2" t="s">
        <v>65</v>
      </c>
      <c r="K4" s="2"/>
      <c r="L4" s="2" t="s">
        <v>34</v>
      </c>
      <c r="M4" s="2" t="s">
        <v>35</v>
      </c>
      <c r="N4" s="3">
        <v>914</v>
      </c>
      <c r="O4" s="3">
        <v>2134</v>
      </c>
      <c r="P4" s="2" t="s">
        <v>332</v>
      </c>
      <c r="Q4" s="2" t="s">
        <v>244</v>
      </c>
      <c r="R4" s="2" t="s">
        <v>41</v>
      </c>
      <c r="S4" s="2" t="s">
        <v>42</v>
      </c>
      <c r="T4" s="2" t="s">
        <v>41</v>
      </c>
      <c r="U4" s="2" t="s">
        <v>42</v>
      </c>
      <c r="V4" s="2" t="s">
        <v>244</v>
      </c>
      <c r="W4" s="45"/>
      <c r="X4" s="45" t="s">
        <v>58</v>
      </c>
      <c r="Y4" s="46" t="s">
        <v>245</v>
      </c>
      <c r="Z4" s="45" t="s">
        <v>59</v>
      </c>
      <c r="AA4" s="45"/>
      <c r="AB4" s="45"/>
      <c r="AC4" s="45"/>
      <c r="AD4" s="45"/>
      <c r="AE4" s="45"/>
    </row>
    <row r="5" spans="1:31">
      <c r="A5" s="6" t="s">
        <v>333</v>
      </c>
      <c r="B5" s="48"/>
      <c r="C5" s="48"/>
      <c r="D5" s="48"/>
      <c r="E5" s="48"/>
      <c r="F5" s="6" t="s">
        <v>30</v>
      </c>
      <c r="G5" s="6" t="s">
        <v>31</v>
      </c>
      <c r="H5" s="6">
        <v>1</v>
      </c>
      <c r="I5" s="6"/>
      <c r="J5" s="6"/>
      <c r="K5" s="6" t="s">
        <v>334</v>
      </c>
      <c r="L5" s="6"/>
      <c r="M5" s="6"/>
      <c r="N5" s="48"/>
      <c r="O5" s="48"/>
      <c r="P5" s="48"/>
      <c r="Q5" s="6" t="s">
        <v>335</v>
      </c>
      <c r="R5" s="6"/>
      <c r="S5" s="6"/>
      <c r="T5" s="6"/>
      <c r="U5" s="6"/>
      <c r="V5" s="6"/>
      <c r="W5" s="48"/>
      <c r="X5" s="48"/>
      <c r="Y5" s="49">
        <v>46</v>
      </c>
      <c r="Z5" s="48"/>
      <c r="AA5" s="48"/>
      <c r="AB5" s="48"/>
      <c r="AC5" s="48"/>
      <c r="AD5" s="48"/>
      <c r="AE5" s="48"/>
    </row>
    <row r="6" spans="1:31">
      <c r="A6" s="2" t="s">
        <v>26</v>
      </c>
      <c r="B6" s="2" t="s">
        <v>27</v>
      </c>
      <c r="C6" s="3">
        <v>102</v>
      </c>
      <c r="D6" s="2" t="s">
        <v>28</v>
      </c>
      <c r="E6" s="2" t="s">
        <v>29</v>
      </c>
      <c r="F6" s="2" t="s">
        <v>30</v>
      </c>
      <c r="G6" s="2" t="s">
        <v>31</v>
      </c>
      <c r="H6" s="2">
        <v>1</v>
      </c>
      <c r="I6" s="2" t="s">
        <v>32</v>
      </c>
      <c r="J6" s="2" t="s">
        <v>33</v>
      </c>
      <c r="K6" s="2"/>
      <c r="L6" s="2" t="s">
        <v>34</v>
      </c>
      <c r="M6" s="2" t="s">
        <v>35</v>
      </c>
      <c r="N6" s="3">
        <v>914</v>
      </c>
      <c r="O6" s="3">
        <v>2134</v>
      </c>
      <c r="P6" s="2" t="s">
        <v>332</v>
      </c>
      <c r="Q6" s="2" t="s">
        <v>37</v>
      </c>
      <c r="R6" s="8" t="s">
        <v>38</v>
      </c>
      <c r="S6" s="2" t="s">
        <v>39</v>
      </c>
      <c r="T6" s="2" t="s">
        <v>41</v>
      </c>
      <c r="U6" s="2" t="s">
        <v>42</v>
      </c>
      <c r="V6" s="2"/>
      <c r="W6" s="45"/>
      <c r="X6" s="45" t="s">
        <v>45</v>
      </c>
      <c r="Y6" s="46">
        <v>30</v>
      </c>
      <c r="Z6" s="45" t="s">
        <v>46</v>
      </c>
      <c r="AA6" s="45"/>
      <c r="AB6" s="45"/>
      <c r="AC6" s="45"/>
      <c r="AD6" s="45"/>
      <c r="AE6" s="45"/>
    </row>
    <row r="7" spans="1:31">
      <c r="A7" s="2" t="s">
        <v>47</v>
      </c>
      <c r="B7" s="2" t="s">
        <v>27</v>
      </c>
      <c r="C7" s="3">
        <v>102</v>
      </c>
      <c r="D7" s="2" t="s">
        <v>48</v>
      </c>
      <c r="E7" s="2" t="s">
        <v>49</v>
      </c>
      <c r="F7" s="2" t="s">
        <v>30</v>
      </c>
      <c r="G7" s="2" t="s">
        <v>31</v>
      </c>
      <c r="H7" s="2">
        <v>1</v>
      </c>
      <c r="I7" s="2" t="s">
        <v>32</v>
      </c>
      <c r="J7" s="2" t="s">
        <v>33</v>
      </c>
      <c r="K7" s="2"/>
      <c r="L7" s="2" t="s">
        <v>34</v>
      </c>
      <c r="M7" s="2" t="s">
        <v>35</v>
      </c>
      <c r="N7" s="3">
        <v>914</v>
      </c>
      <c r="O7" s="3">
        <v>2134</v>
      </c>
      <c r="P7" s="2" t="s">
        <v>332</v>
      </c>
      <c r="Q7" s="2" t="s">
        <v>37</v>
      </c>
      <c r="R7" s="8" t="s">
        <v>38</v>
      </c>
      <c r="S7" s="2" t="s">
        <v>39</v>
      </c>
      <c r="T7" s="2" t="s">
        <v>41</v>
      </c>
      <c r="U7" s="2" t="s">
        <v>42</v>
      </c>
      <c r="V7" s="2"/>
      <c r="W7" s="45"/>
      <c r="X7" s="45" t="s">
        <v>45</v>
      </c>
      <c r="Y7" s="46">
        <v>30</v>
      </c>
      <c r="Z7" s="45" t="s">
        <v>46</v>
      </c>
      <c r="AA7" s="45"/>
      <c r="AB7" s="45"/>
      <c r="AC7" s="45"/>
      <c r="AD7" s="45"/>
      <c r="AE7" s="45"/>
    </row>
    <row r="8" spans="1:31">
      <c r="A8" s="2" t="s">
        <v>50</v>
      </c>
      <c r="B8" s="2" t="s">
        <v>28</v>
      </c>
      <c r="C8" s="2" t="s">
        <v>51</v>
      </c>
      <c r="D8" s="2" t="s">
        <v>27</v>
      </c>
      <c r="E8" s="3">
        <v>102</v>
      </c>
      <c r="F8" s="2" t="s">
        <v>30</v>
      </c>
      <c r="G8" s="2" t="s">
        <v>31</v>
      </c>
      <c r="H8" s="2">
        <v>1</v>
      </c>
      <c r="I8" s="2" t="s">
        <v>32</v>
      </c>
      <c r="J8" s="2" t="s">
        <v>33</v>
      </c>
      <c r="K8" s="2"/>
      <c r="L8" s="2" t="s">
        <v>34</v>
      </c>
      <c r="M8" s="2" t="s">
        <v>35</v>
      </c>
      <c r="N8" s="3">
        <v>914</v>
      </c>
      <c r="O8" s="3">
        <v>2134</v>
      </c>
      <c r="P8" s="2" t="s">
        <v>332</v>
      </c>
      <c r="Q8" s="2" t="s">
        <v>37</v>
      </c>
      <c r="R8" s="8" t="s">
        <v>38</v>
      </c>
      <c r="S8" s="2" t="s">
        <v>39</v>
      </c>
      <c r="T8" s="2" t="s">
        <v>41</v>
      </c>
      <c r="U8" s="2" t="s">
        <v>42</v>
      </c>
      <c r="V8" s="2"/>
      <c r="W8" s="45"/>
      <c r="X8" s="45" t="s">
        <v>45</v>
      </c>
      <c r="Y8" s="46">
        <v>30</v>
      </c>
      <c r="Z8" s="45" t="s">
        <v>46</v>
      </c>
      <c r="AA8" s="45"/>
      <c r="AB8" s="45"/>
      <c r="AC8" s="45"/>
      <c r="AD8" s="45"/>
      <c r="AE8" s="45"/>
    </row>
    <row r="9" spans="1:31">
      <c r="A9" s="2" t="s">
        <v>52</v>
      </c>
      <c r="B9" s="2" t="s">
        <v>53</v>
      </c>
      <c r="C9" s="3">
        <v>103</v>
      </c>
      <c r="D9" s="2" t="s">
        <v>54</v>
      </c>
      <c r="E9" s="2" t="s">
        <v>55</v>
      </c>
      <c r="F9" s="2" t="s">
        <v>30</v>
      </c>
      <c r="G9" s="2" t="s">
        <v>31</v>
      </c>
      <c r="H9" s="2">
        <v>1</v>
      </c>
      <c r="I9" s="2" t="s">
        <v>56</v>
      </c>
      <c r="J9" s="2" t="s">
        <v>57</v>
      </c>
      <c r="K9" s="2"/>
      <c r="L9" s="2" t="s">
        <v>34</v>
      </c>
      <c r="M9" s="2" t="s">
        <v>35</v>
      </c>
      <c r="N9" s="3">
        <v>914</v>
      </c>
      <c r="O9" s="3">
        <v>2134</v>
      </c>
      <c r="P9" s="2" t="s">
        <v>332</v>
      </c>
      <c r="Q9" s="2" t="s">
        <v>37</v>
      </c>
      <c r="R9" s="8" t="s">
        <v>38</v>
      </c>
      <c r="S9" s="2" t="s">
        <v>39</v>
      </c>
      <c r="T9" s="2" t="s">
        <v>41</v>
      </c>
      <c r="U9" s="2" t="s">
        <v>42</v>
      </c>
      <c r="V9" s="2"/>
      <c r="W9" s="45"/>
      <c r="X9" s="45" t="s">
        <v>58</v>
      </c>
      <c r="Y9" s="46">
        <v>22</v>
      </c>
      <c r="Z9" s="45" t="s">
        <v>59</v>
      </c>
      <c r="AA9" s="3">
        <v>0</v>
      </c>
      <c r="AB9" s="45"/>
      <c r="AC9" s="45"/>
      <c r="AD9" s="45"/>
      <c r="AE9" s="45"/>
    </row>
    <row r="10" spans="1:31">
      <c r="A10" s="2" t="s">
        <v>246</v>
      </c>
      <c r="B10" s="45"/>
      <c r="C10" s="45"/>
      <c r="D10" s="2" t="s">
        <v>53</v>
      </c>
      <c r="E10" s="3">
        <v>103</v>
      </c>
      <c r="F10" s="2" t="s">
        <v>30</v>
      </c>
      <c r="G10" s="2" t="s">
        <v>234</v>
      </c>
      <c r="H10" s="2">
        <v>1</v>
      </c>
      <c r="I10" s="2" t="s">
        <v>247</v>
      </c>
      <c r="J10" s="2" t="s">
        <v>236</v>
      </c>
      <c r="K10" s="2"/>
      <c r="L10" s="2" t="s">
        <v>34</v>
      </c>
      <c r="M10" s="2" t="s">
        <v>35</v>
      </c>
      <c r="N10" s="3">
        <v>914</v>
      </c>
      <c r="O10" s="3">
        <v>2134</v>
      </c>
      <c r="P10" s="2" t="s">
        <v>332</v>
      </c>
      <c r="Q10" s="2" t="s">
        <v>248</v>
      </c>
      <c r="R10" s="2" t="s">
        <v>41</v>
      </c>
      <c r="S10" s="2" t="s">
        <v>42</v>
      </c>
      <c r="T10" s="2" t="s">
        <v>41</v>
      </c>
      <c r="U10" s="2" t="s">
        <v>42</v>
      </c>
      <c r="V10" s="2"/>
      <c r="W10" s="45"/>
      <c r="X10" s="45" t="s">
        <v>249</v>
      </c>
      <c r="Y10" s="46">
        <v>5</v>
      </c>
      <c r="Z10" s="45" t="s">
        <v>89</v>
      </c>
      <c r="AA10" s="3">
        <v>0</v>
      </c>
      <c r="AB10" s="3">
        <v>0</v>
      </c>
      <c r="AC10" s="45"/>
      <c r="AD10" s="3">
        <v>0</v>
      </c>
      <c r="AE10" s="45"/>
    </row>
    <row r="11" spans="1:31">
      <c r="A11" s="2" t="s">
        <v>250</v>
      </c>
      <c r="B11" s="2" t="s">
        <v>63</v>
      </c>
      <c r="C11" s="3">
        <v>104</v>
      </c>
      <c r="D11" s="2" t="s">
        <v>54</v>
      </c>
      <c r="E11" s="2" t="s">
        <v>55</v>
      </c>
      <c r="F11" s="2" t="s">
        <v>30</v>
      </c>
      <c r="G11" s="2" t="s">
        <v>31</v>
      </c>
      <c r="H11" s="2">
        <v>1</v>
      </c>
      <c r="I11" s="2" t="s">
        <v>32</v>
      </c>
      <c r="J11" s="2" t="s">
        <v>33</v>
      </c>
      <c r="K11" s="2"/>
      <c r="L11" s="2" t="s">
        <v>34</v>
      </c>
      <c r="M11" s="2" t="s">
        <v>35</v>
      </c>
      <c r="N11" s="3">
        <v>914</v>
      </c>
      <c r="O11" s="3">
        <v>2134</v>
      </c>
      <c r="P11" s="2" t="s">
        <v>332</v>
      </c>
      <c r="Q11" s="2" t="s">
        <v>244</v>
      </c>
      <c r="R11" s="2" t="s">
        <v>41</v>
      </c>
      <c r="S11" s="2" t="s">
        <v>42</v>
      </c>
      <c r="T11" s="2" t="s">
        <v>41</v>
      </c>
      <c r="U11" s="2" t="s">
        <v>42</v>
      </c>
      <c r="V11" s="2" t="s">
        <v>244</v>
      </c>
      <c r="W11" s="45"/>
      <c r="X11" s="45" t="s">
        <v>58</v>
      </c>
      <c r="Y11" s="46" t="s">
        <v>245</v>
      </c>
      <c r="Z11" s="45" t="s">
        <v>59</v>
      </c>
      <c r="AA11" s="3">
        <v>0</v>
      </c>
      <c r="AB11" s="45"/>
      <c r="AC11" s="45"/>
      <c r="AD11" s="45"/>
      <c r="AE11" s="45"/>
    </row>
    <row r="12" spans="1:31">
      <c r="A12" s="2" t="s">
        <v>251</v>
      </c>
      <c r="B12" s="2" t="s">
        <v>63</v>
      </c>
      <c r="C12" s="3">
        <v>104</v>
      </c>
      <c r="D12" s="45"/>
      <c r="E12" s="45"/>
      <c r="F12" s="2" t="s">
        <v>30</v>
      </c>
      <c r="G12" s="2" t="s">
        <v>234</v>
      </c>
      <c r="H12" s="2">
        <v>1</v>
      </c>
      <c r="I12" s="2" t="s">
        <v>247</v>
      </c>
      <c r="J12" s="2" t="s">
        <v>236</v>
      </c>
      <c r="K12" s="2"/>
      <c r="L12" s="2" t="s">
        <v>66</v>
      </c>
      <c r="M12" s="2" t="s">
        <v>35</v>
      </c>
      <c r="N12" s="3">
        <v>1828</v>
      </c>
      <c r="O12" s="3">
        <v>2134</v>
      </c>
      <c r="P12" s="2" t="s">
        <v>332</v>
      </c>
      <c r="Q12" s="2" t="s">
        <v>252</v>
      </c>
      <c r="R12" s="2" t="s">
        <v>41</v>
      </c>
      <c r="S12" s="2" t="s">
        <v>42</v>
      </c>
      <c r="T12" s="2" t="s">
        <v>41</v>
      </c>
      <c r="U12" s="2" t="s">
        <v>42</v>
      </c>
      <c r="V12" s="2" t="s">
        <v>252</v>
      </c>
      <c r="W12" s="45"/>
      <c r="X12" s="45" t="s">
        <v>95</v>
      </c>
      <c r="Y12" s="46">
        <v>3</v>
      </c>
      <c r="Z12" s="45" t="s">
        <v>96</v>
      </c>
      <c r="AA12" s="3">
        <v>0</v>
      </c>
      <c r="AB12" s="45"/>
      <c r="AC12" s="45"/>
      <c r="AD12" s="45"/>
      <c r="AE12" s="45"/>
    </row>
    <row r="13" spans="1:31">
      <c r="A13" s="2" t="s">
        <v>253</v>
      </c>
      <c r="B13" s="2" t="s">
        <v>63</v>
      </c>
      <c r="C13" s="3">
        <v>104</v>
      </c>
      <c r="D13" s="45"/>
      <c r="E13" s="45"/>
      <c r="F13" s="2" t="s">
        <v>30</v>
      </c>
      <c r="G13" s="2" t="s">
        <v>234</v>
      </c>
      <c r="H13" s="2">
        <v>1</v>
      </c>
      <c r="I13" s="2" t="s">
        <v>247</v>
      </c>
      <c r="J13" s="2" t="s">
        <v>236</v>
      </c>
      <c r="K13" s="2"/>
      <c r="L13" s="2" t="s">
        <v>34</v>
      </c>
      <c r="M13" s="2" t="s">
        <v>35</v>
      </c>
      <c r="N13" s="3">
        <v>914</v>
      </c>
      <c r="O13" s="3">
        <v>2134</v>
      </c>
      <c r="P13" s="2" t="s">
        <v>332</v>
      </c>
      <c r="Q13" s="2" t="s">
        <v>254</v>
      </c>
      <c r="R13" s="2" t="s">
        <v>41</v>
      </c>
      <c r="S13" s="2" t="s">
        <v>42</v>
      </c>
      <c r="T13" s="2" t="s">
        <v>41</v>
      </c>
      <c r="U13" s="2" t="s">
        <v>42</v>
      </c>
      <c r="V13" s="2" t="s">
        <v>254</v>
      </c>
      <c r="W13" s="45"/>
      <c r="X13" s="45" t="s">
        <v>249</v>
      </c>
      <c r="Y13" s="46">
        <v>4</v>
      </c>
      <c r="Z13" s="45" t="s">
        <v>59</v>
      </c>
      <c r="AA13" s="3">
        <v>0</v>
      </c>
      <c r="AB13" s="45"/>
      <c r="AC13" s="45"/>
      <c r="AD13" s="45"/>
      <c r="AE13" s="45"/>
    </row>
    <row r="14" spans="1:31">
      <c r="A14" s="2" t="s">
        <v>60</v>
      </c>
      <c r="B14" s="2" t="s">
        <v>61</v>
      </c>
      <c r="C14" s="2" t="s">
        <v>62</v>
      </c>
      <c r="D14" s="2" t="s">
        <v>63</v>
      </c>
      <c r="E14" s="3">
        <v>104</v>
      </c>
      <c r="F14" s="2" t="s">
        <v>30</v>
      </c>
      <c r="G14" s="2" t="s">
        <v>31</v>
      </c>
      <c r="H14" s="2">
        <v>1</v>
      </c>
      <c r="I14" s="2" t="s">
        <v>64</v>
      </c>
      <c r="J14" s="2" t="s">
        <v>65</v>
      </c>
      <c r="K14" s="2"/>
      <c r="L14" s="8" t="s">
        <v>66</v>
      </c>
      <c r="M14" s="2" t="s">
        <v>35</v>
      </c>
      <c r="N14" s="3">
        <v>1828</v>
      </c>
      <c r="O14" s="3">
        <v>2134</v>
      </c>
      <c r="P14" s="2" t="s">
        <v>332</v>
      </c>
      <c r="Q14" s="2" t="s">
        <v>67</v>
      </c>
      <c r="R14" s="8" t="s">
        <v>38</v>
      </c>
      <c r="S14" s="2" t="s">
        <v>39</v>
      </c>
      <c r="T14" s="2" t="s">
        <v>41</v>
      </c>
      <c r="U14" s="2" t="s">
        <v>42</v>
      </c>
      <c r="V14" s="2"/>
      <c r="W14" s="45"/>
      <c r="X14" s="45" t="s">
        <v>58</v>
      </c>
      <c r="Y14" s="46">
        <v>19</v>
      </c>
      <c r="Z14" s="45" t="s">
        <v>68</v>
      </c>
      <c r="AA14" s="45"/>
      <c r="AB14" s="45"/>
      <c r="AC14" s="45"/>
      <c r="AD14" s="45"/>
      <c r="AE14" s="45"/>
    </row>
    <row r="15" spans="1:31">
      <c r="A15" s="2" t="s">
        <v>69</v>
      </c>
      <c r="B15" s="2" t="s">
        <v>70</v>
      </c>
      <c r="C15" s="2" t="s">
        <v>71</v>
      </c>
      <c r="D15" s="2" t="s">
        <v>63</v>
      </c>
      <c r="E15" s="3">
        <v>104</v>
      </c>
      <c r="F15" s="2" t="s">
        <v>30</v>
      </c>
      <c r="G15" s="2" t="s">
        <v>31</v>
      </c>
      <c r="H15" s="2">
        <v>1</v>
      </c>
      <c r="I15" s="2" t="s">
        <v>32</v>
      </c>
      <c r="J15" s="2" t="s">
        <v>33</v>
      </c>
      <c r="K15" s="2"/>
      <c r="L15" s="2" t="s">
        <v>34</v>
      </c>
      <c r="M15" s="2" t="s">
        <v>35</v>
      </c>
      <c r="N15" s="3">
        <v>914</v>
      </c>
      <c r="O15" s="3">
        <v>2134</v>
      </c>
      <c r="P15" s="2" t="s">
        <v>332</v>
      </c>
      <c r="Q15" s="2" t="s">
        <v>72</v>
      </c>
      <c r="R15" s="8" t="s">
        <v>38</v>
      </c>
      <c r="S15" s="2" t="s">
        <v>39</v>
      </c>
      <c r="T15" s="2" t="s">
        <v>41</v>
      </c>
      <c r="U15" s="2" t="s">
        <v>42</v>
      </c>
      <c r="V15" s="2" t="s">
        <v>72</v>
      </c>
      <c r="W15" s="45"/>
      <c r="X15" s="45" t="s">
        <v>58</v>
      </c>
      <c r="Y15" s="46">
        <v>29</v>
      </c>
      <c r="Z15" s="45" t="s">
        <v>46</v>
      </c>
      <c r="AA15" s="45"/>
      <c r="AB15" s="45"/>
      <c r="AC15" s="45"/>
      <c r="AD15" s="45"/>
      <c r="AE15" s="45"/>
    </row>
    <row r="16" spans="1:31">
      <c r="A16" s="2" t="s">
        <v>73</v>
      </c>
      <c r="B16" s="2" t="s">
        <v>74</v>
      </c>
      <c r="C16" s="3">
        <v>108</v>
      </c>
      <c r="D16" s="2" t="s">
        <v>75</v>
      </c>
      <c r="E16" s="2" t="s">
        <v>76</v>
      </c>
      <c r="F16" s="2" t="s">
        <v>30</v>
      </c>
      <c r="G16" s="2" t="s">
        <v>31</v>
      </c>
      <c r="H16" s="2">
        <v>1</v>
      </c>
      <c r="I16" s="2" t="s">
        <v>32</v>
      </c>
      <c r="J16" s="2" t="s">
        <v>33</v>
      </c>
      <c r="K16" s="2"/>
      <c r="L16" s="2" t="s">
        <v>34</v>
      </c>
      <c r="M16" s="2" t="s">
        <v>35</v>
      </c>
      <c r="N16" s="3">
        <v>914</v>
      </c>
      <c r="O16" s="3">
        <v>2134</v>
      </c>
      <c r="P16" s="2" t="s">
        <v>332</v>
      </c>
      <c r="Q16" s="2" t="s">
        <v>37</v>
      </c>
      <c r="R16" s="8" t="s">
        <v>38</v>
      </c>
      <c r="S16" s="2" t="s">
        <v>39</v>
      </c>
      <c r="T16" s="2" t="s">
        <v>41</v>
      </c>
      <c r="U16" s="2" t="s">
        <v>42</v>
      </c>
      <c r="V16" s="2"/>
      <c r="W16" s="45"/>
      <c r="X16" s="45" t="s">
        <v>58</v>
      </c>
      <c r="Y16" s="46">
        <v>26</v>
      </c>
      <c r="Z16" s="45" t="s">
        <v>77</v>
      </c>
      <c r="AA16" s="45"/>
      <c r="AB16" s="45"/>
      <c r="AC16" s="45"/>
      <c r="AD16" s="45"/>
      <c r="AE16" s="45"/>
    </row>
    <row r="17" spans="1:31">
      <c r="A17" s="2" t="s">
        <v>78</v>
      </c>
      <c r="B17" s="2" t="s">
        <v>63</v>
      </c>
      <c r="C17" s="3">
        <v>104</v>
      </c>
      <c r="D17" s="2" t="s">
        <v>75</v>
      </c>
      <c r="E17" s="2" t="s">
        <v>76</v>
      </c>
      <c r="F17" s="2" t="s">
        <v>30</v>
      </c>
      <c r="G17" s="2" t="s">
        <v>31</v>
      </c>
      <c r="H17" s="2">
        <v>1</v>
      </c>
      <c r="I17" s="2" t="s">
        <v>32</v>
      </c>
      <c r="J17" s="2" t="s">
        <v>33</v>
      </c>
      <c r="K17" s="2"/>
      <c r="L17" s="2" t="s">
        <v>34</v>
      </c>
      <c r="M17" s="2" t="s">
        <v>35</v>
      </c>
      <c r="N17" s="3">
        <v>914</v>
      </c>
      <c r="O17" s="3">
        <v>2134</v>
      </c>
      <c r="P17" s="2" t="s">
        <v>332</v>
      </c>
      <c r="Q17" s="2" t="s">
        <v>37</v>
      </c>
      <c r="R17" s="8" t="s">
        <v>38</v>
      </c>
      <c r="S17" s="2" t="s">
        <v>39</v>
      </c>
      <c r="T17" s="2" t="s">
        <v>41</v>
      </c>
      <c r="U17" s="2" t="s">
        <v>42</v>
      </c>
      <c r="V17" s="2"/>
      <c r="W17" s="45"/>
      <c r="X17" s="45" t="s">
        <v>58</v>
      </c>
      <c r="Y17" s="46">
        <v>27</v>
      </c>
      <c r="Z17" s="45" t="s">
        <v>59</v>
      </c>
      <c r="AA17" s="45"/>
      <c r="AB17" s="45"/>
      <c r="AC17" s="45"/>
      <c r="AD17" s="45"/>
      <c r="AE17" s="45"/>
    </row>
    <row r="18" spans="1:31">
      <c r="A18" s="2" t="s">
        <v>79</v>
      </c>
      <c r="B18" s="2" t="s">
        <v>80</v>
      </c>
      <c r="C18" s="3">
        <v>105</v>
      </c>
      <c r="D18" s="2" t="s">
        <v>54</v>
      </c>
      <c r="E18" s="2" t="s">
        <v>55</v>
      </c>
      <c r="F18" s="2" t="s">
        <v>30</v>
      </c>
      <c r="G18" s="2" t="s">
        <v>31</v>
      </c>
      <c r="H18" s="2">
        <v>1</v>
      </c>
      <c r="I18" s="2" t="s">
        <v>64</v>
      </c>
      <c r="J18" s="2" t="s">
        <v>65</v>
      </c>
      <c r="K18" s="2"/>
      <c r="L18" s="8" t="s">
        <v>81</v>
      </c>
      <c r="M18" s="2" t="s">
        <v>35</v>
      </c>
      <c r="N18" s="3">
        <v>813</v>
      </c>
      <c r="O18" s="3">
        <v>2134</v>
      </c>
      <c r="P18" s="2" t="s">
        <v>332</v>
      </c>
      <c r="Q18" s="2" t="s">
        <v>82</v>
      </c>
      <c r="R18" s="8" t="s">
        <v>38</v>
      </c>
      <c r="S18" s="2" t="s">
        <v>39</v>
      </c>
      <c r="T18" s="2" t="s">
        <v>41</v>
      </c>
      <c r="U18" s="2" t="s">
        <v>42</v>
      </c>
      <c r="V18" s="2"/>
      <c r="W18" s="45"/>
      <c r="X18" s="45" t="s">
        <v>83</v>
      </c>
      <c r="Y18" s="46">
        <v>33</v>
      </c>
      <c r="Z18" s="45" t="s">
        <v>59</v>
      </c>
      <c r="AA18" s="3">
        <v>0</v>
      </c>
      <c r="AB18" s="45"/>
      <c r="AC18" s="45"/>
      <c r="AD18" s="45"/>
      <c r="AE18" s="45"/>
    </row>
    <row r="19" spans="1:31">
      <c r="A19" s="2" t="s">
        <v>84</v>
      </c>
      <c r="B19" s="2" t="s">
        <v>85</v>
      </c>
      <c r="C19" s="3">
        <v>106</v>
      </c>
      <c r="D19" s="2" t="s">
        <v>54</v>
      </c>
      <c r="E19" s="2" t="s">
        <v>55</v>
      </c>
      <c r="F19" s="2" t="s">
        <v>30</v>
      </c>
      <c r="G19" s="2" t="s">
        <v>31</v>
      </c>
      <c r="H19" s="2">
        <v>1</v>
      </c>
      <c r="I19" s="2" t="s">
        <v>64</v>
      </c>
      <c r="J19" s="2" t="s">
        <v>65</v>
      </c>
      <c r="K19" s="2"/>
      <c r="L19" s="8" t="s">
        <v>81</v>
      </c>
      <c r="M19" s="2" t="s">
        <v>35</v>
      </c>
      <c r="N19" s="3">
        <v>813</v>
      </c>
      <c r="O19" s="3">
        <v>2134</v>
      </c>
      <c r="P19" s="2" t="s">
        <v>332</v>
      </c>
      <c r="Q19" s="2" t="s">
        <v>82</v>
      </c>
      <c r="R19" s="8" t="s">
        <v>38</v>
      </c>
      <c r="S19" s="2" t="s">
        <v>39</v>
      </c>
      <c r="T19" s="2" t="s">
        <v>41</v>
      </c>
      <c r="U19" s="2" t="s">
        <v>42</v>
      </c>
      <c r="V19" s="2"/>
      <c r="W19" s="45"/>
      <c r="X19" s="45" t="s">
        <v>83</v>
      </c>
      <c r="Y19" s="46">
        <v>33</v>
      </c>
      <c r="Z19" s="45" t="s">
        <v>59</v>
      </c>
      <c r="AA19" s="3">
        <v>0</v>
      </c>
      <c r="AB19" s="45"/>
      <c r="AC19" s="45"/>
      <c r="AD19" s="45"/>
      <c r="AE19" s="45"/>
    </row>
    <row r="20" spans="1:31">
      <c r="A20" s="2" t="s">
        <v>86</v>
      </c>
      <c r="B20" s="2" t="s">
        <v>87</v>
      </c>
      <c r="C20" s="3">
        <v>107</v>
      </c>
      <c r="D20" s="2" t="s">
        <v>54</v>
      </c>
      <c r="E20" s="2" t="s">
        <v>55</v>
      </c>
      <c r="F20" s="2" t="s">
        <v>30</v>
      </c>
      <c r="G20" s="2" t="s">
        <v>31</v>
      </c>
      <c r="H20" s="2">
        <v>1</v>
      </c>
      <c r="I20" s="2" t="s">
        <v>64</v>
      </c>
      <c r="J20" s="2" t="s">
        <v>65</v>
      </c>
      <c r="K20" s="2"/>
      <c r="L20" s="2" t="s">
        <v>34</v>
      </c>
      <c r="M20" s="2" t="s">
        <v>35</v>
      </c>
      <c r="N20" s="3">
        <v>914</v>
      </c>
      <c r="O20" s="3">
        <v>2134</v>
      </c>
      <c r="P20" s="2" t="s">
        <v>332</v>
      </c>
      <c r="Q20" s="2" t="s">
        <v>82</v>
      </c>
      <c r="R20" s="8" t="s">
        <v>38</v>
      </c>
      <c r="S20" s="2" t="s">
        <v>39</v>
      </c>
      <c r="T20" s="2" t="s">
        <v>41</v>
      </c>
      <c r="U20" s="2" t="s">
        <v>42</v>
      </c>
      <c r="V20" s="2"/>
      <c r="W20" s="45"/>
      <c r="X20" s="45" t="s">
        <v>88</v>
      </c>
      <c r="Y20" s="46">
        <v>14</v>
      </c>
      <c r="Z20" s="45" t="s">
        <v>89</v>
      </c>
      <c r="AA20" s="3">
        <v>0</v>
      </c>
      <c r="AB20" s="3">
        <v>0</v>
      </c>
      <c r="AC20" s="45"/>
      <c r="AD20" s="45"/>
      <c r="AE20" s="45"/>
    </row>
    <row r="21" spans="1:31">
      <c r="A21" s="2" t="s">
        <v>90</v>
      </c>
      <c r="B21" s="2" t="s">
        <v>74</v>
      </c>
      <c r="C21" s="3">
        <v>108</v>
      </c>
      <c r="D21" s="2" t="s">
        <v>54</v>
      </c>
      <c r="E21" s="2" t="s">
        <v>55</v>
      </c>
      <c r="F21" s="2" t="s">
        <v>30</v>
      </c>
      <c r="G21" s="2" t="s">
        <v>31</v>
      </c>
      <c r="H21" s="2">
        <v>1</v>
      </c>
      <c r="I21" s="2" t="s">
        <v>64</v>
      </c>
      <c r="J21" s="2" t="s">
        <v>65</v>
      </c>
      <c r="K21" s="2"/>
      <c r="L21" s="8" t="s">
        <v>66</v>
      </c>
      <c r="M21" s="2" t="s">
        <v>35</v>
      </c>
      <c r="N21" s="3">
        <v>1828</v>
      </c>
      <c r="O21" s="3">
        <v>2134</v>
      </c>
      <c r="P21" s="2" t="s">
        <v>332</v>
      </c>
      <c r="Q21" s="2" t="s">
        <v>67</v>
      </c>
      <c r="R21" s="8" t="s">
        <v>38</v>
      </c>
      <c r="S21" s="2" t="s">
        <v>39</v>
      </c>
      <c r="T21" s="2" t="s">
        <v>41</v>
      </c>
      <c r="U21" s="2" t="s">
        <v>42</v>
      </c>
      <c r="V21" s="2"/>
      <c r="W21" s="45"/>
      <c r="X21" s="45" t="s">
        <v>58</v>
      </c>
      <c r="Y21" s="46">
        <v>18</v>
      </c>
      <c r="Z21" s="45" t="s">
        <v>68</v>
      </c>
      <c r="AA21" s="3">
        <v>0</v>
      </c>
      <c r="AB21" s="45"/>
      <c r="AC21" s="3">
        <v>0</v>
      </c>
      <c r="AD21" s="45"/>
      <c r="AE21" s="45"/>
    </row>
    <row r="22" spans="1:31">
      <c r="A22" s="2" t="s">
        <v>255</v>
      </c>
      <c r="B22" s="2" t="s">
        <v>74</v>
      </c>
      <c r="C22" s="3">
        <v>108</v>
      </c>
      <c r="D22" s="45"/>
      <c r="E22" s="45"/>
      <c r="F22" s="2" t="s">
        <v>30</v>
      </c>
      <c r="G22" s="2" t="s">
        <v>234</v>
      </c>
      <c r="H22" s="2">
        <v>1</v>
      </c>
      <c r="I22" s="2" t="s">
        <v>247</v>
      </c>
      <c r="J22" s="2" t="s">
        <v>236</v>
      </c>
      <c r="K22" s="2"/>
      <c r="L22" s="2" t="s">
        <v>66</v>
      </c>
      <c r="M22" s="2" t="s">
        <v>35</v>
      </c>
      <c r="N22" s="3">
        <v>1828</v>
      </c>
      <c r="O22" s="3">
        <v>2134</v>
      </c>
      <c r="P22" s="2" t="s">
        <v>332</v>
      </c>
      <c r="Q22" s="2" t="s">
        <v>252</v>
      </c>
      <c r="R22" s="2" t="s">
        <v>41</v>
      </c>
      <c r="S22" s="2" t="s">
        <v>42</v>
      </c>
      <c r="T22" s="2" t="s">
        <v>41</v>
      </c>
      <c r="U22" s="2" t="s">
        <v>42</v>
      </c>
      <c r="V22" s="2" t="s">
        <v>252</v>
      </c>
      <c r="W22" s="45"/>
      <c r="X22" s="45" t="s">
        <v>95</v>
      </c>
      <c r="Y22" s="46">
        <v>3</v>
      </c>
      <c r="Z22" s="45" t="s">
        <v>96</v>
      </c>
      <c r="AA22" s="3">
        <v>0</v>
      </c>
      <c r="AB22" s="45"/>
      <c r="AC22" s="45"/>
      <c r="AD22" s="3">
        <v>0</v>
      </c>
      <c r="AE22" s="45"/>
    </row>
    <row r="23" spans="1:31">
      <c r="A23" s="6" t="s">
        <v>336</v>
      </c>
      <c r="B23" s="6" t="s">
        <v>63</v>
      </c>
      <c r="C23" s="7">
        <v>104</v>
      </c>
      <c r="D23" s="6" t="s">
        <v>74</v>
      </c>
      <c r="E23" s="7">
        <v>108</v>
      </c>
      <c r="F23" s="6" t="s">
        <v>30</v>
      </c>
      <c r="G23" s="6" t="s">
        <v>31</v>
      </c>
      <c r="H23" s="6">
        <v>1</v>
      </c>
      <c r="I23" s="6"/>
      <c r="J23" s="6"/>
      <c r="K23" s="6" t="s">
        <v>337</v>
      </c>
      <c r="L23" s="6" t="s">
        <v>338</v>
      </c>
      <c r="M23" s="6" t="s">
        <v>339</v>
      </c>
      <c r="N23" s="7">
        <v>4600</v>
      </c>
      <c r="O23" s="7">
        <v>2500</v>
      </c>
      <c r="P23" s="48"/>
      <c r="Q23" s="6" t="s">
        <v>340</v>
      </c>
      <c r="R23" s="6"/>
      <c r="S23" s="6"/>
      <c r="T23" s="6"/>
      <c r="U23" s="6"/>
      <c r="V23" s="6"/>
      <c r="W23" s="48"/>
      <c r="X23" s="48"/>
      <c r="Y23" s="49">
        <v>45</v>
      </c>
      <c r="Z23" s="48"/>
      <c r="AA23" s="48"/>
      <c r="AB23" s="48"/>
      <c r="AC23" s="48"/>
      <c r="AD23" s="48"/>
      <c r="AE23" s="48"/>
    </row>
    <row r="24" spans="1:31">
      <c r="A24" s="2" t="s">
        <v>91</v>
      </c>
      <c r="B24" s="2" t="s">
        <v>54</v>
      </c>
      <c r="C24" s="2" t="s">
        <v>55</v>
      </c>
      <c r="D24" s="2" t="s">
        <v>92</v>
      </c>
      <c r="E24" s="3">
        <v>109</v>
      </c>
      <c r="F24" s="2" t="s">
        <v>30</v>
      </c>
      <c r="G24" s="2" t="s">
        <v>31</v>
      </c>
      <c r="H24" s="2">
        <v>1</v>
      </c>
      <c r="I24" s="2" t="s">
        <v>93</v>
      </c>
      <c r="J24" s="2" t="s">
        <v>94</v>
      </c>
      <c r="K24" s="2"/>
      <c r="L24" s="8" t="s">
        <v>66</v>
      </c>
      <c r="M24" s="2" t="s">
        <v>35</v>
      </c>
      <c r="N24" s="3">
        <v>1828</v>
      </c>
      <c r="O24" s="3">
        <v>2134</v>
      </c>
      <c r="P24" s="2" t="s">
        <v>332</v>
      </c>
      <c r="Q24" s="2" t="s">
        <v>67</v>
      </c>
      <c r="R24" s="8" t="s">
        <v>38</v>
      </c>
      <c r="S24" s="2" t="s">
        <v>39</v>
      </c>
      <c r="T24" s="2" t="s">
        <v>41</v>
      </c>
      <c r="U24" s="2" t="s">
        <v>42</v>
      </c>
      <c r="V24" s="2"/>
      <c r="W24" s="45"/>
      <c r="X24" s="45" t="s">
        <v>95</v>
      </c>
      <c r="Y24" s="46">
        <v>12</v>
      </c>
      <c r="Z24" s="45" t="s">
        <v>96</v>
      </c>
      <c r="AA24" s="3">
        <v>0</v>
      </c>
      <c r="AB24" s="45"/>
      <c r="AC24" s="3">
        <v>0</v>
      </c>
      <c r="AD24" s="45"/>
      <c r="AE24" s="45"/>
    </row>
    <row r="25" spans="1:31">
      <c r="A25" s="2" t="s">
        <v>256</v>
      </c>
      <c r="B25" s="2" t="s">
        <v>92</v>
      </c>
      <c r="C25" s="3">
        <v>109</v>
      </c>
      <c r="D25" s="45"/>
      <c r="E25" s="45"/>
      <c r="F25" s="2" t="s">
        <v>30</v>
      </c>
      <c r="G25" s="2" t="s">
        <v>234</v>
      </c>
      <c r="H25" s="2">
        <v>1</v>
      </c>
      <c r="I25" s="2" t="s">
        <v>257</v>
      </c>
      <c r="J25" s="2" t="s">
        <v>236</v>
      </c>
      <c r="K25" s="2"/>
      <c r="L25" s="2" t="s">
        <v>66</v>
      </c>
      <c r="M25" s="2" t="s">
        <v>35</v>
      </c>
      <c r="N25" s="3">
        <v>1828</v>
      </c>
      <c r="O25" s="3">
        <v>2134</v>
      </c>
      <c r="P25" s="2" t="s">
        <v>332</v>
      </c>
      <c r="Q25" s="2" t="s">
        <v>258</v>
      </c>
      <c r="R25" s="2" t="s">
        <v>41</v>
      </c>
      <c r="S25" s="2" t="s">
        <v>42</v>
      </c>
      <c r="T25" s="2" t="s">
        <v>41</v>
      </c>
      <c r="U25" s="2" t="s">
        <v>42</v>
      </c>
      <c r="V25" s="2"/>
      <c r="W25" s="45"/>
      <c r="X25" s="45" t="s">
        <v>95</v>
      </c>
      <c r="Y25" s="46">
        <v>3</v>
      </c>
      <c r="Z25" s="45" t="s">
        <v>96</v>
      </c>
      <c r="AA25" s="3">
        <v>0</v>
      </c>
      <c r="AB25" s="45"/>
      <c r="AC25" s="45"/>
      <c r="AD25" s="3">
        <v>0</v>
      </c>
      <c r="AE25" s="45"/>
    </row>
    <row r="26" spans="1:31">
      <c r="A26" s="2" t="s">
        <v>259</v>
      </c>
      <c r="B26" s="2" t="s">
        <v>92</v>
      </c>
      <c r="C26" s="3">
        <v>109</v>
      </c>
      <c r="D26" s="45"/>
      <c r="E26" s="45"/>
      <c r="F26" s="2" t="s">
        <v>30</v>
      </c>
      <c r="G26" s="2" t="s">
        <v>234</v>
      </c>
      <c r="H26" s="2">
        <v>1</v>
      </c>
      <c r="I26" s="2" t="s">
        <v>260</v>
      </c>
      <c r="J26" s="2" t="s">
        <v>236</v>
      </c>
      <c r="K26" s="2"/>
      <c r="L26" s="2" t="s">
        <v>66</v>
      </c>
      <c r="M26" s="2" t="s">
        <v>35</v>
      </c>
      <c r="N26" s="3">
        <v>1828</v>
      </c>
      <c r="O26" s="3">
        <v>2134</v>
      </c>
      <c r="P26" s="2" t="s">
        <v>332</v>
      </c>
      <c r="Q26" s="2" t="s">
        <v>258</v>
      </c>
      <c r="R26" s="2" t="s">
        <v>41</v>
      </c>
      <c r="S26" s="2" t="s">
        <v>42</v>
      </c>
      <c r="T26" s="2" t="s">
        <v>41</v>
      </c>
      <c r="U26" s="2" t="s">
        <v>42</v>
      </c>
      <c r="V26" s="2"/>
      <c r="W26" s="45"/>
      <c r="X26" s="45" t="s">
        <v>95</v>
      </c>
      <c r="Y26" s="46">
        <v>3</v>
      </c>
      <c r="Z26" s="45" t="s">
        <v>96</v>
      </c>
      <c r="AA26" s="3">
        <v>0</v>
      </c>
      <c r="AB26" s="45"/>
      <c r="AC26" s="45"/>
      <c r="AD26" s="3">
        <v>0</v>
      </c>
      <c r="AE26" s="45"/>
    </row>
    <row r="27" spans="1:31">
      <c r="A27" s="2" t="s">
        <v>261</v>
      </c>
      <c r="B27" s="2" t="s">
        <v>92</v>
      </c>
      <c r="C27" s="3">
        <v>109</v>
      </c>
      <c r="D27" s="45"/>
      <c r="E27" s="45"/>
      <c r="F27" s="2" t="s">
        <v>30</v>
      </c>
      <c r="G27" s="2" t="s">
        <v>234</v>
      </c>
      <c r="H27" s="2">
        <v>1</v>
      </c>
      <c r="I27" s="2" t="s">
        <v>262</v>
      </c>
      <c r="J27" s="2" t="s">
        <v>236</v>
      </c>
      <c r="K27" s="2"/>
      <c r="L27" s="2" t="s">
        <v>66</v>
      </c>
      <c r="M27" s="2" t="s">
        <v>35</v>
      </c>
      <c r="N27" s="3">
        <v>1828</v>
      </c>
      <c r="O27" s="3">
        <v>2134</v>
      </c>
      <c r="P27" s="2" t="s">
        <v>332</v>
      </c>
      <c r="Q27" s="2" t="s">
        <v>258</v>
      </c>
      <c r="R27" s="2" t="s">
        <v>41</v>
      </c>
      <c r="S27" s="2" t="s">
        <v>42</v>
      </c>
      <c r="T27" s="2" t="s">
        <v>41</v>
      </c>
      <c r="U27" s="2" t="s">
        <v>42</v>
      </c>
      <c r="V27" s="2"/>
      <c r="W27" s="45"/>
      <c r="X27" s="45" t="s">
        <v>95</v>
      </c>
      <c r="Y27" s="46">
        <v>10</v>
      </c>
      <c r="Z27" s="45" t="s">
        <v>239</v>
      </c>
      <c r="AA27" s="3">
        <v>0</v>
      </c>
      <c r="AB27" s="45"/>
      <c r="AC27" s="45"/>
      <c r="AD27" s="3">
        <v>0</v>
      </c>
      <c r="AE27" s="45"/>
    </row>
    <row r="28" spans="1:31">
      <c r="A28" s="6" t="s">
        <v>341</v>
      </c>
      <c r="B28" s="48"/>
      <c r="C28" s="48"/>
      <c r="D28" s="48"/>
      <c r="E28" s="48"/>
      <c r="F28" s="6" t="s">
        <v>30</v>
      </c>
      <c r="G28" s="6" t="s">
        <v>31</v>
      </c>
      <c r="H28" s="6">
        <v>1</v>
      </c>
      <c r="I28" s="6"/>
      <c r="J28" s="6"/>
      <c r="K28" s="6" t="s">
        <v>337</v>
      </c>
      <c r="L28" s="6" t="s">
        <v>338</v>
      </c>
      <c r="M28" s="6" t="s">
        <v>339</v>
      </c>
      <c r="N28" s="7">
        <v>4600</v>
      </c>
      <c r="O28" s="7">
        <v>2500</v>
      </c>
      <c r="P28" s="48"/>
      <c r="Q28" s="6" t="s">
        <v>342</v>
      </c>
      <c r="R28" s="6"/>
      <c r="S28" s="6"/>
      <c r="T28" s="6"/>
      <c r="U28" s="6"/>
      <c r="V28" s="6"/>
      <c r="W28" s="48"/>
      <c r="X28" s="48"/>
      <c r="Y28" s="49">
        <v>45</v>
      </c>
      <c r="Z28" s="48"/>
      <c r="AA28" s="48"/>
      <c r="AB28" s="48"/>
      <c r="AC28" s="48"/>
      <c r="AD28" s="48"/>
      <c r="AE28" s="48"/>
    </row>
    <row r="29" spans="1:31">
      <c r="A29" s="2" t="s">
        <v>263</v>
      </c>
      <c r="B29" s="2" t="s">
        <v>264</v>
      </c>
      <c r="C29" s="3">
        <v>111</v>
      </c>
      <c r="D29" s="2" t="s">
        <v>264</v>
      </c>
      <c r="E29" s="3">
        <v>110</v>
      </c>
      <c r="F29" s="2" t="s">
        <v>30</v>
      </c>
      <c r="G29" s="2" t="s">
        <v>31</v>
      </c>
      <c r="H29" s="2">
        <v>1</v>
      </c>
      <c r="I29" s="2" t="s">
        <v>32</v>
      </c>
      <c r="J29" s="2" t="s">
        <v>33</v>
      </c>
      <c r="K29" s="2"/>
      <c r="L29" s="8" t="s">
        <v>66</v>
      </c>
      <c r="M29" s="2" t="s">
        <v>35</v>
      </c>
      <c r="N29" s="3">
        <v>1828</v>
      </c>
      <c r="O29" s="3">
        <v>2134</v>
      </c>
      <c r="P29" s="2" t="s">
        <v>332</v>
      </c>
      <c r="Q29" s="2" t="s">
        <v>265</v>
      </c>
      <c r="R29" s="2" t="s">
        <v>41</v>
      </c>
      <c r="S29" s="2" t="s">
        <v>42</v>
      </c>
      <c r="T29" s="2" t="s">
        <v>41</v>
      </c>
      <c r="U29" s="2" t="s">
        <v>42</v>
      </c>
      <c r="V29" s="2"/>
      <c r="W29" s="45"/>
      <c r="X29" s="45" t="s">
        <v>88</v>
      </c>
      <c r="Y29" s="46">
        <v>40</v>
      </c>
      <c r="Z29" s="45" t="s">
        <v>68</v>
      </c>
      <c r="AA29" s="3">
        <v>0</v>
      </c>
      <c r="AB29" s="45"/>
      <c r="AC29" s="45"/>
      <c r="AD29" s="45"/>
      <c r="AE29" s="45"/>
    </row>
    <row r="30" spans="1:31">
      <c r="A30" s="2" t="s">
        <v>266</v>
      </c>
      <c r="B30" s="45"/>
      <c r="C30" s="45"/>
      <c r="D30" s="2" t="s">
        <v>264</v>
      </c>
      <c r="E30" s="3">
        <v>110</v>
      </c>
      <c r="F30" s="2" t="s">
        <v>30</v>
      </c>
      <c r="G30" s="2" t="s">
        <v>234</v>
      </c>
      <c r="H30" s="2">
        <v>1</v>
      </c>
      <c r="I30" s="2" t="s">
        <v>262</v>
      </c>
      <c r="J30" s="2" t="s">
        <v>236</v>
      </c>
      <c r="K30" s="2"/>
      <c r="L30" s="2" t="s">
        <v>66</v>
      </c>
      <c r="M30" s="2" t="s">
        <v>35</v>
      </c>
      <c r="N30" s="3">
        <v>1828</v>
      </c>
      <c r="O30" s="3">
        <v>2134</v>
      </c>
      <c r="P30" s="2" t="s">
        <v>332</v>
      </c>
      <c r="Q30" s="2" t="s">
        <v>267</v>
      </c>
      <c r="R30" s="2" t="s">
        <v>41</v>
      </c>
      <c r="S30" s="2" t="s">
        <v>42</v>
      </c>
      <c r="T30" s="2" t="s">
        <v>41</v>
      </c>
      <c r="U30" s="2" t="s">
        <v>42</v>
      </c>
      <c r="V30" s="2"/>
      <c r="W30" s="45"/>
      <c r="X30" s="45" t="s">
        <v>268</v>
      </c>
      <c r="Y30" s="46">
        <v>2</v>
      </c>
      <c r="Z30" s="45" t="s">
        <v>269</v>
      </c>
      <c r="AA30" s="3">
        <v>0</v>
      </c>
      <c r="AB30" s="45"/>
      <c r="AC30" s="45"/>
      <c r="AD30" s="3">
        <v>0</v>
      </c>
      <c r="AE30" s="45"/>
    </row>
    <row r="31" spans="1:31">
      <c r="A31" s="2" t="s">
        <v>270</v>
      </c>
      <c r="B31" s="2" t="s">
        <v>264</v>
      </c>
      <c r="C31" s="3">
        <v>111</v>
      </c>
      <c r="D31" s="2" t="s">
        <v>92</v>
      </c>
      <c r="E31" s="3">
        <v>109</v>
      </c>
      <c r="F31" s="2" t="s">
        <v>30</v>
      </c>
      <c r="G31" s="2" t="s">
        <v>31</v>
      </c>
      <c r="H31" s="2">
        <v>1</v>
      </c>
      <c r="I31" s="2" t="s">
        <v>227</v>
      </c>
      <c r="J31" s="2" t="s">
        <v>228</v>
      </c>
      <c r="K31" s="2"/>
      <c r="L31" s="8" t="s">
        <v>66</v>
      </c>
      <c r="M31" s="2" t="s">
        <v>35</v>
      </c>
      <c r="N31" s="3">
        <v>1828</v>
      </c>
      <c r="O31" s="3">
        <v>2134</v>
      </c>
      <c r="P31" s="2" t="s">
        <v>332</v>
      </c>
      <c r="Q31" s="2" t="s">
        <v>265</v>
      </c>
      <c r="R31" s="2" t="s">
        <v>41</v>
      </c>
      <c r="S31" s="2" t="s">
        <v>42</v>
      </c>
      <c r="T31" s="2" t="s">
        <v>41</v>
      </c>
      <c r="U31" s="2" t="s">
        <v>42</v>
      </c>
      <c r="V31" s="2"/>
      <c r="W31" s="45"/>
      <c r="X31" s="45" t="s">
        <v>88</v>
      </c>
      <c r="Y31" s="46">
        <v>35</v>
      </c>
      <c r="Z31" s="45" t="s">
        <v>68</v>
      </c>
      <c r="AA31" s="3">
        <v>0</v>
      </c>
      <c r="AB31" s="45"/>
      <c r="AC31" s="45"/>
      <c r="AD31" s="45"/>
      <c r="AE31" s="45"/>
    </row>
    <row r="32" spans="1:31">
      <c r="A32" s="2" t="s">
        <v>97</v>
      </c>
      <c r="B32" s="2" t="s">
        <v>54</v>
      </c>
      <c r="C32" s="2" t="s">
        <v>98</v>
      </c>
      <c r="D32" s="2" t="s">
        <v>99</v>
      </c>
      <c r="E32" s="3">
        <v>112</v>
      </c>
      <c r="F32" s="2" t="s">
        <v>30</v>
      </c>
      <c r="G32" s="2" t="s">
        <v>31</v>
      </c>
      <c r="H32" s="2">
        <v>1</v>
      </c>
      <c r="I32" s="2" t="s">
        <v>32</v>
      </c>
      <c r="J32" s="2" t="s">
        <v>33</v>
      </c>
      <c r="K32" s="2"/>
      <c r="L32" s="2" t="s">
        <v>34</v>
      </c>
      <c r="M32" s="2" t="s">
        <v>35</v>
      </c>
      <c r="N32" s="3">
        <v>914</v>
      </c>
      <c r="O32" s="3">
        <v>2134</v>
      </c>
      <c r="P32" s="2" t="s">
        <v>332</v>
      </c>
      <c r="Q32" s="2" t="s">
        <v>82</v>
      </c>
      <c r="R32" s="8" t="s">
        <v>38</v>
      </c>
      <c r="S32" s="2" t="s">
        <v>39</v>
      </c>
      <c r="T32" s="2" t="s">
        <v>41</v>
      </c>
      <c r="U32" s="2" t="s">
        <v>42</v>
      </c>
      <c r="V32" s="2"/>
      <c r="W32" s="45"/>
      <c r="X32" s="45" t="s">
        <v>88</v>
      </c>
      <c r="Y32" s="46">
        <v>14</v>
      </c>
      <c r="Z32" s="45" t="s">
        <v>89</v>
      </c>
      <c r="AA32" s="3">
        <v>0</v>
      </c>
      <c r="AB32" s="3">
        <v>0</v>
      </c>
      <c r="AC32" s="45"/>
      <c r="AD32" s="45"/>
      <c r="AE32" s="45"/>
    </row>
    <row r="33" spans="1:31">
      <c r="A33" s="2" t="s">
        <v>100</v>
      </c>
      <c r="B33" s="2" t="s">
        <v>85</v>
      </c>
      <c r="C33" s="3">
        <v>113</v>
      </c>
      <c r="D33" s="2" t="s">
        <v>54</v>
      </c>
      <c r="E33" s="2" t="s">
        <v>98</v>
      </c>
      <c r="F33" s="2" t="s">
        <v>30</v>
      </c>
      <c r="G33" s="2" t="s">
        <v>31</v>
      </c>
      <c r="H33" s="2">
        <v>1</v>
      </c>
      <c r="I33" s="2" t="s">
        <v>32</v>
      </c>
      <c r="J33" s="2" t="s">
        <v>33</v>
      </c>
      <c r="K33" s="2"/>
      <c r="L33" s="8" t="s">
        <v>81</v>
      </c>
      <c r="M33" s="2" t="s">
        <v>35</v>
      </c>
      <c r="N33" s="3">
        <v>813</v>
      </c>
      <c r="O33" s="3">
        <v>2134</v>
      </c>
      <c r="P33" s="2" t="s">
        <v>332</v>
      </c>
      <c r="Q33" s="2" t="s">
        <v>82</v>
      </c>
      <c r="R33" s="8" t="s">
        <v>38</v>
      </c>
      <c r="S33" s="2" t="s">
        <v>39</v>
      </c>
      <c r="T33" s="2" t="s">
        <v>41</v>
      </c>
      <c r="U33" s="2" t="s">
        <v>42</v>
      </c>
      <c r="V33" s="2"/>
      <c r="W33" s="45"/>
      <c r="X33" s="45" t="s">
        <v>83</v>
      </c>
      <c r="Y33" s="46">
        <v>33</v>
      </c>
      <c r="Z33" s="45" t="s">
        <v>59</v>
      </c>
      <c r="AA33" s="3">
        <v>0</v>
      </c>
      <c r="AB33" s="45"/>
      <c r="AC33" s="45"/>
      <c r="AD33" s="45"/>
      <c r="AE33" s="45"/>
    </row>
    <row r="34" spans="1:31">
      <c r="A34" s="2" t="s">
        <v>101</v>
      </c>
      <c r="B34" s="2" t="s">
        <v>54</v>
      </c>
      <c r="C34" s="2" t="s">
        <v>98</v>
      </c>
      <c r="D34" s="2" t="s">
        <v>85</v>
      </c>
      <c r="E34" s="3">
        <v>114</v>
      </c>
      <c r="F34" s="2" t="s">
        <v>30</v>
      </c>
      <c r="G34" s="2" t="s">
        <v>31</v>
      </c>
      <c r="H34" s="2">
        <v>1</v>
      </c>
      <c r="I34" s="2" t="s">
        <v>32</v>
      </c>
      <c r="J34" s="2" t="s">
        <v>33</v>
      </c>
      <c r="K34" s="2"/>
      <c r="L34" s="8" t="s">
        <v>81</v>
      </c>
      <c r="M34" s="2" t="s">
        <v>35</v>
      </c>
      <c r="N34" s="3">
        <v>813</v>
      </c>
      <c r="O34" s="3">
        <v>2134</v>
      </c>
      <c r="P34" s="2" t="s">
        <v>332</v>
      </c>
      <c r="Q34" s="2" t="s">
        <v>82</v>
      </c>
      <c r="R34" s="8" t="s">
        <v>38</v>
      </c>
      <c r="S34" s="2" t="s">
        <v>39</v>
      </c>
      <c r="T34" s="2" t="s">
        <v>41</v>
      </c>
      <c r="U34" s="2" t="s">
        <v>42</v>
      </c>
      <c r="V34" s="2"/>
      <c r="W34" s="45"/>
      <c r="X34" s="45" t="s">
        <v>83</v>
      </c>
      <c r="Y34" s="46">
        <v>33</v>
      </c>
      <c r="Z34" s="45" t="s">
        <v>59</v>
      </c>
      <c r="AA34" s="3">
        <v>0</v>
      </c>
      <c r="AB34" s="45"/>
      <c r="AC34" s="45"/>
      <c r="AD34" s="45"/>
      <c r="AE34" s="45"/>
    </row>
    <row r="35" spans="1:31">
      <c r="A35" s="2" t="s">
        <v>102</v>
      </c>
      <c r="B35" s="2" t="s">
        <v>99</v>
      </c>
      <c r="C35" s="3">
        <v>115</v>
      </c>
      <c r="D35" s="2" t="s">
        <v>54</v>
      </c>
      <c r="E35" s="2" t="s">
        <v>98</v>
      </c>
      <c r="F35" s="2" t="s">
        <v>30</v>
      </c>
      <c r="G35" s="2" t="s">
        <v>31</v>
      </c>
      <c r="H35" s="2">
        <v>1</v>
      </c>
      <c r="I35" s="2" t="s">
        <v>32</v>
      </c>
      <c r="J35" s="2" t="s">
        <v>33</v>
      </c>
      <c r="K35" s="2"/>
      <c r="L35" s="2" t="s">
        <v>34</v>
      </c>
      <c r="M35" s="2" t="s">
        <v>35</v>
      </c>
      <c r="N35" s="3">
        <v>914</v>
      </c>
      <c r="O35" s="3">
        <v>2134</v>
      </c>
      <c r="P35" s="2" t="s">
        <v>332</v>
      </c>
      <c r="Q35" s="2" t="s">
        <v>82</v>
      </c>
      <c r="R35" s="8" t="s">
        <v>38</v>
      </c>
      <c r="S35" s="2" t="s">
        <v>39</v>
      </c>
      <c r="T35" s="2" t="s">
        <v>41</v>
      </c>
      <c r="U35" s="2" t="s">
        <v>42</v>
      </c>
      <c r="V35" s="2"/>
      <c r="W35" s="45"/>
      <c r="X35" s="45" t="s">
        <v>88</v>
      </c>
      <c r="Y35" s="46">
        <v>14</v>
      </c>
      <c r="Z35" s="45" t="s">
        <v>89</v>
      </c>
      <c r="AA35" s="3">
        <v>0</v>
      </c>
      <c r="AB35" s="3">
        <v>0</v>
      </c>
      <c r="AC35" s="45"/>
      <c r="AD35" s="45"/>
      <c r="AE35" s="45"/>
    </row>
    <row r="36" spans="1:31">
      <c r="A36" s="2" t="s">
        <v>103</v>
      </c>
      <c r="B36" s="2" t="s">
        <v>54</v>
      </c>
      <c r="C36" s="2" t="s">
        <v>55</v>
      </c>
      <c r="D36" s="2" t="s">
        <v>104</v>
      </c>
      <c r="E36" s="3">
        <v>116</v>
      </c>
      <c r="F36" s="2" t="s">
        <v>30</v>
      </c>
      <c r="G36" s="2" t="s">
        <v>31</v>
      </c>
      <c r="H36" s="2">
        <v>1</v>
      </c>
      <c r="I36" s="2" t="s">
        <v>64</v>
      </c>
      <c r="J36" s="2" t="s">
        <v>65</v>
      </c>
      <c r="K36" s="2"/>
      <c r="L36" s="2" t="s">
        <v>34</v>
      </c>
      <c r="M36" s="2" t="s">
        <v>35</v>
      </c>
      <c r="N36" s="3">
        <v>914</v>
      </c>
      <c r="O36" s="3">
        <v>2134</v>
      </c>
      <c r="P36" s="2" t="s">
        <v>332</v>
      </c>
      <c r="Q36" s="2" t="s">
        <v>37</v>
      </c>
      <c r="R36" s="8" t="s">
        <v>38</v>
      </c>
      <c r="S36" s="2" t="s">
        <v>39</v>
      </c>
      <c r="T36" s="2" t="s">
        <v>41</v>
      </c>
      <c r="U36" s="2" t="s">
        <v>42</v>
      </c>
      <c r="V36" s="2"/>
      <c r="W36" s="45"/>
      <c r="X36" s="45" t="s">
        <v>58</v>
      </c>
      <c r="Y36" s="46">
        <v>24</v>
      </c>
      <c r="Z36" s="45" t="s">
        <v>59</v>
      </c>
      <c r="AA36" s="3">
        <v>0</v>
      </c>
      <c r="AB36" s="45"/>
      <c r="AC36" s="45"/>
      <c r="AD36" s="45"/>
      <c r="AE36" s="45"/>
    </row>
    <row r="37" spans="1:31">
      <c r="A37" s="2" t="s">
        <v>105</v>
      </c>
      <c r="B37" s="2" t="s">
        <v>54</v>
      </c>
      <c r="C37" s="2" t="s">
        <v>55</v>
      </c>
      <c r="D37" s="2" t="s">
        <v>104</v>
      </c>
      <c r="E37" s="3">
        <v>116</v>
      </c>
      <c r="F37" s="2" t="s">
        <v>30</v>
      </c>
      <c r="G37" s="2" t="s">
        <v>31</v>
      </c>
      <c r="H37" s="2">
        <v>1</v>
      </c>
      <c r="I37" s="2" t="s">
        <v>64</v>
      </c>
      <c r="J37" s="2" t="s">
        <v>65</v>
      </c>
      <c r="K37" s="2"/>
      <c r="L37" s="2" t="s">
        <v>34</v>
      </c>
      <c r="M37" s="2" t="s">
        <v>35</v>
      </c>
      <c r="N37" s="3">
        <v>914</v>
      </c>
      <c r="O37" s="3">
        <v>2134</v>
      </c>
      <c r="P37" s="2" t="s">
        <v>332</v>
      </c>
      <c r="Q37" s="2" t="s">
        <v>37</v>
      </c>
      <c r="R37" s="8" t="s">
        <v>38</v>
      </c>
      <c r="S37" s="2" t="s">
        <v>39</v>
      </c>
      <c r="T37" s="2" t="s">
        <v>41</v>
      </c>
      <c r="U37" s="2" t="s">
        <v>42</v>
      </c>
      <c r="V37" s="2"/>
      <c r="W37" s="45"/>
      <c r="X37" s="45" t="s">
        <v>58</v>
      </c>
      <c r="Y37" s="46">
        <v>24</v>
      </c>
      <c r="Z37" s="45" t="s">
        <v>59</v>
      </c>
      <c r="AA37" s="3">
        <v>0</v>
      </c>
      <c r="AB37" s="45"/>
      <c r="AC37" s="45"/>
      <c r="AD37" s="45"/>
      <c r="AE37" s="45"/>
    </row>
    <row r="38" spans="1:31">
      <c r="A38" s="2" t="s">
        <v>271</v>
      </c>
      <c r="B38" s="2" t="s">
        <v>104</v>
      </c>
      <c r="C38" s="3">
        <v>116</v>
      </c>
      <c r="D38" s="45"/>
      <c r="E38" s="45"/>
      <c r="F38" s="2" t="s">
        <v>30</v>
      </c>
      <c r="G38" s="2" t="s">
        <v>234</v>
      </c>
      <c r="H38" s="2">
        <v>1</v>
      </c>
      <c r="I38" s="2" t="s">
        <v>247</v>
      </c>
      <c r="J38" s="2" t="s">
        <v>236</v>
      </c>
      <c r="K38" s="2"/>
      <c r="L38" s="2" t="s">
        <v>66</v>
      </c>
      <c r="M38" s="2" t="s">
        <v>35</v>
      </c>
      <c r="N38" s="3">
        <v>1828</v>
      </c>
      <c r="O38" s="3">
        <v>2134</v>
      </c>
      <c r="P38" s="2" t="s">
        <v>332</v>
      </c>
      <c r="Q38" s="2" t="s">
        <v>258</v>
      </c>
      <c r="R38" s="2" t="s">
        <v>41</v>
      </c>
      <c r="S38" s="2" t="s">
        <v>42</v>
      </c>
      <c r="T38" s="2" t="s">
        <v>41</v>
      </c>
      <c r="U38" s="2" t="s">
        <v>42</v>
      </c>
      <c r="V38" s="2"/>
      <c r="W38" s="45"/>
      <c r="X38" s="45" t="s">
        <v>95</v>
      </c>
      <c r="Y38" s="46">
        <v>3</v>
      </c>
      <c r="Z38" s="45" t="s">
        <v>96</v>
      </c>
      <c r="AA38" s="3">
        <v>0</v>
      </c>
      <c r="AB38" s="45"/>
      <c r="AC38" s="45"/>
      <c r="AD38" s="3">
        <v>0</v>
      </c>
      <c r="AE38" s="45"/>
    </row>
    <row r="39" spans="1:31">
      <c r="A39" s="2" t="s">
        <v>106</v>
      </c>
      <c r="B39" s="45"/>
      <c r="C39" s="45"/>
      <c r="D39" s="2" t="s">
        <v>104</v>
      </c>
      <c r="E39" s="3">
        <v>116</v>
      </c>
      <c r="F39" s="2" t="s">
        <v>30</v>
      </c>
      <c r="G39" s="2" t="s">
        <v>31</v>
      </c>
      <c r="H39" s="2">
        <v>1</v>
      </c>
      <c r="I39" s="2" t="s">
        <v>64</v>
      </c>
      <c r="J39" s="2" t="s">
        <v>65</v>
      </c>
      <c r="K39" s="2"/>
      <c r="L39" s="8" t="s">
        <v>81</v>
      </c>
      <c r="M39" s="2" t="s">
        <v>35</v>
      </c>
      <c r="N39" s="3">
        <v>813</v>
      </c>
      <c r="O39" s="3">
        <v>2134</v>
      </c>
      <c r="P39" s="2" t="s">
        <v>332</v>
      </c>
      <c r="Q39" s="2" t="s">
        <v>82</v>
      </c>
      <c r="R39" s="8" t="s">
        <v>38</v>
      </c>
      <c r="S39" s="2" t="s">
        <v>39</v>
      </c>
      <c r="T39" s="2" t="s">
        <v>41</v>
      </c>
      <c r="U39" s="2" t="s">
        <v>42</v>
      </c>
      <c r="V39" s="2"/>
      <c r="W39" s="45"/>
      <c r="X39" s="45" t="s">
        <v>88</v>
      </c>
      <c r="Y39" s="46">
        <v>36</v>
      </c>
      <c r="Z39" s="45" t="s">
        <v>77</v>
      </c>
      <c r="AA39" s="45"/>
      <c r="AB39" s="45"/>
      <c r="AC39" s="45"/>
      <c r="AD39" s="45"/>
      <c r="AE39" s="45"/>
    </row>
    <row r="40" spans="1:31">
      <c r="A40" s="6" t="s">
        <v>343</v>
      </c>
      <c r="B40" s="48"/>
      <c r="C40" s="48"/>
      <c r="D40" s="48"/>
      <c r="E40" s="48"/>
      <c r="F40" s="6" t="s">
        <v>30</v>
      </c>
      <c r="G40" s="6" t="s">
        <v>31</v>
      </c>
      <c r="H40" s="6">
        <v>1</v>
      </c>
      <c r="I40" s="6"/>
      <c r="J40" s="6"/>
      <c r="K40" s="6" t="s">
        <v>334</v>
      </c>
      <c r="L40" s="6"/>
      <c r="M40" s="6"/>
      <c r="N40" s="48"/>
      <c r="O40" s="48"/>
      <c r="P40" s="48"/>
      <c r="Q40" s="6" t="s">
        <v>344</v>
      </c>
      <c r="R40" s="6"/>
      <c r="S40" s="6"/>
      <c r="T40" s="6"/>
      <c r="U40" s="6"/>
      <c r="V40" s="6"/>
      <c r="W40" s="48"/>
      <c r="X40" s="48"/>
      <c r="Y40" s="49">
        <v>46</v>
      </c>
      <c r="Z40" s="48"/>
      <c r="AA40" s="48"/>
      <c r="AB40" s="48"/>
      <c r="AC40" s="48"/>
      <c r="AD40" s="48"/>
      <c r="AE40" s="48"/>
    </row>
    <row r="41" spans="1:31">
      <c r="A41" s="2" t="s">
        <v>107</v>
      </c>
      <c r="B41" s="2" t="s">
        <v>104</v>
      </c>
      <c r="C41" s="3">
        <v>116</v>
      </c>
      <c r="D41" s="2" t="s">
        <v>61</v>
      </c>
      <c r="E41" s="2" t="s">
        <v>108</v>
      </c>
      <c r="F41" s="2" t="s">
        <v>30</v>
      </c>
      <c r="G41" s="2" t="s">
        <v>31</v>
      </c>
      <c r="H41" s="2">
        <v>1</v>
      </c>
      <c r="I41" s="2" t="s">
        <v>32</v>
      </c>
      <c r="J41" s="2" t="s">
        <v>33</v>
      </c>
      <c r="K41" s="2"/>
      <c r="L41" s="2" t="s">
        <v>34</v>
      </c>
      <c r="M41" s="2" t="s">
        <v>35</v>
      </c>
      <c r="N41" s="3">
        <v>914</v>
      </c>
      <c r="O41" s="3">
        <v>2134</v>
      </c>
      <c r="P41" s="2" t="s">
        <v>332</v>
      </c>
      <c r="Q41" s="2" t="s">
        <v>37</v>
      </c>
      <c r="R41" s="8" t="s">
        <v>38</v>
      </c>
      <c r="S41" s="2" t="s">
        <v>39</v>
      </c>
      <c r="T41" s="2" t="s">
        <v>41</v>
      </c>
      <c r="U41" s="2" t="s">
        <v>42</v>
      </c>
      <c r="V41" s="2"/>
      <c r="W41" s="45"/>
      <c r="X41" s="45" t="s">
        <v>58</v>
      </c>
      <c r="Y41" s="46">
        <v>28</v>
      </c>
      <c r="Z41" s="45" t="s">
        <v>77</v>
      </c>
      <c r="AA41" s="45"/>
      <c r="AB41" s="45"/>
      <c r="AC41" s="45"/>
      <c r="AD41" s="45"/>
      <c r="AE41" s="45"/>
    </row>
    <row r="42" spans="1:31">
      <c r="A42" s="2" t="s">
        <v>109</v>
      </c>
      <c r="B42" s="2" t="s">
        <v>104</v>
      </c>
      <c r="C42" s="3">
        <v>116</v>
      </c>
      <c r="D42" s="2" t="s">
        <v>70</v>
      </c>
      <c r="E42" s="2" t="s">
        <v>110</v>
      </c>
      <c r="F42" s="2" t="s">
        <v>30</v>
      </c>
      <c r="G42" s="2" t="s">
        <v>31</v>
      </c>
      <c r="H42" s="2">
        <v>1</v>
      </c>
      <c r="I42" s="2" t="s">
        <v>32</v>
      </c>
      <c r="J42" s="2" t="s">
        <v>33</v>
      </c>
      <c r="K42" s="2"/>
      <c r="L42" s="2" t="s">
        <v>34</v>
      </c>
      <c r="M42" s="2" t="s">
        <v>35</v>
      </c>
      <c r="N42" s="3">
        <v>914</v>
      </c>
      <c r="O42" s="3">
        <v>2134</v>
      </c>
      <c r="P42" s="2" t="s">
        <v>332</v>
      </c>
      <c r="Q42" s="2" t="s">
        <v>37</v>
      </c>
      <c r="R42" s="8" t="s">
        <v>38</v>
      </c>
      <c r="S42" s="2" t="s">
        <v>39</v>
      </c>
      <c r="T42" s="2" t="s">
        <v>41</v>
      </c>
      <c r="U42" s="2" t="s">
        <v>42</v>
      </c>
      <c r="V42" s="2"/>
      <c r="W42" s="45"/>
      <c r="X42" s="45" t="s">
        <v>58</v>
      </c>
      <c r="Y42" s="46">
        <v>28</v>
      </c>
      <c r="Z42" s="45" t="s">
        <v>77</v>
      </c>
      <c r="AA42" s="45"/>
      <c r="AB42" s="45"/>
      <c r="AC42" s="45"/>
      <c r="AD42" s="45"/>
      <c r="AE42" s="45"/>
    </row>
    <row r="43" spans="1:31">
      <c r="A43" s="2" t="s">
        <v>111</v>
      </c>
      <c r="B43" s="2" t="s">
        <v>54</v>
      </c>
      <c r="C43" s="2" t="s">
        <v>55</v>
      </c>
      <c r="D43" s="2" t="s">
        <v>70</v>
      </c>
      <c r="E43" s="2" t="s">
        <v>112</v>
      </c>
      <c r="F43" s="2" t="s">
        <v>30</v>
      </c>
      <c r="G43" s="2" t="s">
        <v>31</v>
      </c>
      <c r="H43" s="2">
        <v>1</v>
      </c>
      <c r="I43" s="2" t="s">
        <v>64</v>
      </c>
      <c r="J43" s="2" t="s">
        <v>65</v>
      </c>
      <c r="K43" s="2"/>
      <c r="L43" s="2" t="s">
        <v>34</v>
      </c>
      <c r="M43" s="2" t="s">
        <v>35</v>
      </c>
      <c r="N43" s="3">
        <v>914</v>
      </c>
      <c r="O43" s="3">
        <v>2134</v>
      </c>
      <c r="P43" s="2" t="s">
        <v>332</v>
      </c>
      <c r="Q43" s="2" t="s">
        <v>37</v>
      </c>
      <c r="R43" s="8" t="s">
        <v>38</v>
      </c>
      <c r="S43" s="2" t="s">
        <v>39</v>
      </c>
      <c r="T43" s="2" t="s">
        <v>41</v>
      </c>
      <c r="U43" s="2" t="s">
        <v>42</v>
      </c>
      <c r="V43" s="2"/>
      <c r="W43" s="45"/>
      <c r="X43" s="45" t="s">
        <v>58</v>
      </c>
      <c r="Y43" s="46">
        <v>23</v>
      </c>
      <c r="Z43" s="45" t="s">
        <v>59</v>
      </c>
      <c r="AA43" s="3">
        <v>0</v>
      </c>
      <c r="AB43" s="45"/>
      <c r="AC43" s="45"/>
      <c r="AD43" s="45"/>
      <c r="AE43" s="45"/>
    </row>
    <row r="44" spans="1:31">
      <c r="A44" s="2" t="s">
        <v>113</v>
      </c>
      <c r="B44" s="2" t="s">
        <v>54</v>
      </c>
      <c r="C44" s="2" t="s">
        <v>55</v>
      </c>
      <c r="D44" s="2" t="s">
        <v>114</v>
      </c>
      <c r="E44" s="3">
        <v>117</v>
      </c>
      <c r="F44" s="2" t="s">
        <v>30</v>
      </c>
      <c r="G44" s="2" t="s">
        <v>31</v>
      </c>
      <c r="H44" s="2">
        <v>1</v>
      </c>
      <c r="I44" s="2" t="s">
        <v>64</v>
      </c>
      <c r="J44" s="2" t="s">
        <v>65</v>
      </c>
      <c r="K44" s="2"/>
      <c r="L44" s="2" t="s">
        <v>34</v>
      </c>
      <c r="M44" s="2" t="s">
        <v>35</v>
      </c>
      <c r="N44" s="3">
        <v>914</v>
      </c>
      <c r="O44" s="3">
        <v>2134</v>
      </c>
      <c r="P44" s="2" t="s">
        <v>332</v>
      </c>
      <c r="Q44" s="2" t="s">
        <v>37</v>
      </c>
      <c r="R44" s="8" t="s">
        <v>38</v>
      </c>
      <c r="S44" s="2" t="s">
        <v>39</v>
      </c>
      <c r="T44" s="2" t="s">
        <v>41</v>
      </c>
      <c r="U44" s="2" t="s">
        <v>42</v>
      </c>
      <c r="V44" s="2"/>
      <c r="W44" s="45"/>
      <c r="X44" s="45" t="s">
        <v>58</v>
      </c>
      <c r="Y44" s="46">
        <v>24</v>
      </c>
      <c r="Z44" s="45" t="s">
        <v>59</v>
      </c>
      <c r="AA44" s="3">
        <v>0</v>
      </c>
      <c r="AB44" s="45"/>
      <c r="AC44" s="45"/>
      <c r="AD44" s="45"/>
      <c r="AE44" s="45"/>
    </row>
    <row r="45" spans="1:31">
      <c r="A45" s="2" t="s">
        <v>272</v>
      </c>
      <c r="B45" s="2" t="s">
        <v>114</v>
      </c>
      <c r="C45" s="3">
        <v>117</v>
      </c>
      <c r="D45" s="45"/>
      <c r="E45" s="45"/>
      <c r="F45" s="2" t="s">
        <v>30</v>
      </c>
      <c r="G45" s="2" t="s">
        <v>234</v>
      </c>
      <c r="H45" s="2">
        <v>1</v>
      </c>
      <c r="I45" s="2" t="s">
        <v>273</v>
      </c>
      <c r="J45" s="2" t="s">
        <v>236</v>
      </c>
      <c r="K45" s="2"/>
      <c r="L45" s="2" t="s">
        <v>34</v>
      </c>
      <c r="M45" s="2" t="s">
        <v>35</v>
      </c>
      <c r="N45" s="3">
        <v>914</v>
      </c>
      <c r="O45" s="3">
        <v>2134</v>
      </c>
      <c r="P45" s="2" t="s">
        <v>332</v>
      </c>
      <c r="Q45" s="2" t="s">
        <v>254</v>
      </c>
      <c r="R45" s="2" t="s">
        <v>41</v>
      </c>
      <c r="S45" s="2" t="s">
        <v>42</v>
      </c>
      <c r="T45" s="2" t="s">
        <v>41</v>
      </c>
      <c r="U45" s="2" t="s">
        <v>42</v>
      </c>
      <c r="V45" s="2" t="s">
        <v>254</v>
      </c>
      <c r="W45" s="45"/>
      <c r="X45" s="45" t="s">
        <v>249</v>
      </c>
      <c r="Y45" s="46">
        <v>4</v>
      </c>
      <c r="Z45" s="45" t="s">
        <v>59</v>
      </c>
      <c r="AA45" s="3">
        <v>0</v>
      </c>
      <c r="AB45" s="45"/>
      <c r="AC45" s="45"/>
      <c r="AD45" s="45"/>
      <c r="AE45" s="45"/>
    </row>
    <row r="46" spans="1:31">
      <c r="A46" s="2" t="s">
        <v>115</v>
      </c>
      <c r="B46" s="2" t="s">
        <v>54</v>
      </c>
      <c r="C46" s="2" t="s">
        <v>55</v>
      </c>
      <c r="D46" s="2" t="s">
        <v>116</v>
      </c>
      <c r="E46" s="3">
        <v>118</v>
      </c>
      <c r="F46" s="2" t="s">
        <v>30</v>
      </c>
      <c r="G46" s="2" t="s">
        <v>31</v>
      </c>
      <c r="H46" s="2">
        <v>1</v>
      </c>
      <c r="I46" s="2" t="s">
        <v>64</v>
      </c>
      <c r="J46" s="2" t="s">
        <v>65</v>
      </c>
      <c r="K46" s="2"/>
      <c r="L46" s="2" t="s">
        <v>34</v>
      </c>
      <c r="M46" s="2" t="s">
        <v>35</v>
      </c>
      <c r="N46" s="3">
        <v>914</v>
      </c>
      <c r="O46" s="3">
        <v>2134</v>
      </c>
      <c r="P46" s="2" t="s">
        <v>332</v>
      </c>
      <c r="Q46" s="2" t="s">
        <v>82</v>
      </c>
      <c r="R46" s="8" t="s">
        <v>38</v>
      </c>
      <c r="S46" s="2" t="s">
        <v>39</v>
      </c>
      <c r="T46" s="2" t="s">
        <v>41</v>
      </c>
      <c r="U46" s="2" t="s">
        <v>42</v>
      </c>
      <c r="V46" s="2"/>
      <c r="W46" s="45"/>
      <c r="X46" s="45" t="s">
        <v>88</v>
      </c>
      <c r="Y46" s="46">
        <v>13</v>
      </c>
      <c r="Z46" s="45" t="s">
        <v>89</v>
      </c>
      <c r="AA46" s="3">
        <v>0</v>
      </c>
      <c r="AB46" s="3">
        <v>0</v>
      </c>
      <c r="AC46" s="45"/>
      <c r="AD46" s="45"/>
      <c r="AE46" s="45"/>
    </row>
    <row r="47" spans="1:31">
      <c r="A47" s="2" t="s">
        <v>117</v>
      </c>
      <c r="B47" s="2" t="s">
        <v>54</v>
      </c>
      <c r="C47" s="2" t="s">
        <v>55</v>
      </c>
      <c r="D47" s="2" t="s">
        <v>118</v>
      </c>
      <c r="E47" s="3">
        <v>119</v>
      </c>
      <c r="F47" s="2" t="s">
        <v>30</v>
      </c>
      <c r="G47" s="2" t="s">
        <v>31</v>
      </c>
      <c r="H47" s="2">
        <v>1</v>
      </c>
      <c r="I47" s="2" t="s">
        <v>32</v>
      </c>
      <c r="J47" s="2" t="s">
        <v>33</v>
      </c>
      <c r="K47" s="2"/>
      <c r="L47" s="2" t="s">
        <v>34</v>
      </c>
      <c r="M47" s="2" t="s">
        <v>35</v>
      </c>
      <c r="N47" s="3">
        <v>914</v>
      </c>
      <c r="O47" s="3">
        <v>2134</v>
      </c>
      <c r="P47" s="2" t="s">
        <v>332</v>
      </c>
      <c r="Q47" s="2" t="s">
        <v>37</v>
      </c>
      <c r="R47" s="8" t="s">
        <v>38</v>
      </c>
      <c r="S47" s="2" t="s">
        <v>39</v>
      </c>
      <c r="T47" s="2" t="s">
        <v>41</v>
      </c>
      <c r="U47" s="2" t="s">
        <v>42</v>
      </c>
      <c r="V47" s="2"/>
      <c r="W47" s="45"/>
      <c r="X47" s="45" t="s">
        <v>58</v>
      </c>
      <c r="Y47" s="46">
        <v>25</v>
      </c>
      <c r="Z47" s="45" t="s">
        <v>46</v>
      </c>
      <c r="AA47" s="45"/>
      <c r="AB47" s="45"/>
      <c r="AC47" s="45"/>
      <c r="AD47" s="45"/>
      <c r="AE47" s="45"/>
    </row>
    <row r="48" spans="1:31">
      <c r="A48" s="2" t="s">
        <v>274</v>
      </c>
      <c r="B48" s="2" t="s">
        <v>118</v>
      </c>
      <c r="C48" s="3">
        <v>119</v>
      </c>
      <c r="D48" s="45"/>
      <c r="E48" s="45"/>
      <c r="F48" s="2" t="s">
        <v>30</v>
      </c>
      <c r="G48" s="2" t="s">
        <v>234</v>
      </c>
      <c r="H48" s="2">
        <v>1</v>
      </c>
      <c r="I48" s="2" t="s">
        <v>273</v>
      </c>
      <c r="J48" s="2" t="s">
        <v>236</v>
      </c>
      <c r="K48" s="2"/>
      <c r="L48" s="2" t="s">
        <v>34</v>
      </c>
      <c r="M48" s="2" t="s">
        <v>35</v>
      </c>
      <c r="N48" s="3">
        <v>914</v>
      </c>
      <c r="O48" s="3">
        <v>2134</v>
      </c>
      <c r="P48" s="2" t="s">
        <v>332</v>
      </c>
      <c r="Q48" s="2" t="s">
        <v>254</v>
      </c>
      <c r="R48" s="2" t="s">
        <v>41</v>
      </c>
      <c r="S48" s="2" t="s">
        <v>42</v>
      </c>
      <c r="T48" s="2" t="s">
        <v>41</v>
      </c>
      <c r="U48" s="2" t="s">
        <v>42</v>
      </c>
      <c r="V48" s="2" t="s">
        <v>254</v>
      </c>
      <c r="W48" s="45"/>
      <c r="X48" s="45" t="s">
        <v>249</v>
      </c>
      <c r="Y48" s="46">
        <v>4</v>
      </c>
      <c r="Z48" s="45" t="s">
        <v>59</v>
      </c>
      <c r="AA48" s="3">
        <v>0</v>
      </c>
      <c r="AB48" s="45"/>
      <c r="AC48" s="45"/>
      <c r="AD48" s="45"/>
      <c r="AE48" s="45"/>
    </row>
    <row r="49" spans="1:31">
      <c r="A49" s="2" t="s">
        <v>119</v>
      </c>
      <c r="B49" s="2" t="s">
        <v>85</v>
      </c>
      <c r="C49" s="2" t="s">
        <v>120</v>
      </c>
      <c r="D49" s="2" t="s">
        <v>118</v>
      </c>
      <c r="E49" s="3">
        <v>119</v>
      </c>
      <c r="F49" s="2" t="s">
        <v>30</v>
      </c>
      <c r="G49" s="2" t="s">
        <v>31</v>
      </c>
      <c r="H49" s="2">
        <v>1</v>
      </c>
      <c r="I49" s="2" t="s">
        <v>121</v>
      </c>
      <c r="J49" s="2" t="s">
        <v>122</v>
      </c>
      <c r="K49" s="2"/>
      <c r="L49" s="2" t="s">
        <v>34</v>
      </c>
      <c r="M49" s="2" t="s">
        <v>35</v>
      </c>
      <c r="N49" s="3">
        <v>914</v>
      </c>
      <c r="O49" s="3">
        <v>2134</v>
      </c>
      <c r="P49" s="2" t="s">
        <v>332</v>
      </c>
      <c r="Q49" s="2" t="s">
        <v>82</v>
      </c>
      <c r="R49" s="8" t="s">
        <v>38</v>
      </c>
      <c r="S49" s="2" t="s">
        <v>39</v>
      </c>
      <c r="T49" s="2" t="s">
        <v>41</v>
      </c>
      <c r="U49" s="2" t="s">
        <v>42</v>
      </c>
      <c r="V49" s="2"/>
      <c r="W49" s="45"/>
      <c r="X49" s="45" t="s">
        <v>83</v>
      </c>
      <c r="Y49" s="46">
        <v>34</v>
      </c>
      <c r="Z49" s="45" t="s">
        <v>77</v>
      </c>
      <c r="AA49" s="3">
        <v>0</v>
      </c>
      <c r="AB49" s="45"/>
      <c r="AC49" s="45"/>
      <c r="AD49" s="45"/>
      <c r="AE49" s="45"/>
    </row>
    <row r="50" spans="1:31">
      <c r="A50" s="2" t="s">
        <v>123</v>
      </c>
      <c r="B50" s="2" t="s">
        <v>118</v>
      </c>
      <c r="C50" s="3">
        <v>120</v>
      </c>
      <c r="D50" s="2" t="s">
        <v>54</v>
      </c>
      <c r="E50" s="2" t="s">
        <v>55</v>
      </c>
      <c r="F50" s="2" t="s">
        <v>30</v>
      </c>
      <c r="G50" s="2" t="s">
        <v>31</v>
      </c>
      <c r="H50" s="2">
        <v>1</v>
      </c>
      <c r="I50" s="2" t="s">
        <v>32</v>
      </c>
      <c r="J50" s="2" t="s">
        <v>33</v>
      </c>
      <c r="K50" s="2"/>
      <c r="L50" s="2" t="s">
        <v>34</v>
      </c>
      <c r="M50" s="2" t="s">
        <v>35</v>
      </c>
      <c r="N50" s="3">
        <v>914</v>
      </c>
      <c r="O50" s="3">
        <v>2134</v>
      </c>
      <c r="P50" s="2" t="s">
        <v>332</v>
      </c>
      <c r="Q50" s="2" t="s">
        <v>37</v>
      </c>
      <c r="R50" s="8" t="s">
        <v>38</v>
      </c>
      <c r="S50" s="2" t="s">
        <v>39</v>
      </c>
      <c r="T50" s="2" t="s">
        <v>41</v>
      </c>
      <c r="U50" s="2" t="s">
        <v>42</v>
      </c>
      <c r="V50" s="2"/>
      <c r="W50" s="45"/>
      <c r="X50" s="45" t="s">
        <v>58</v>
      </c>
      <c r="Y50" s="46">
        <v>25</v>
      </c>
      <c r="Z50" s="45" t="s">
        <v>46</v>
      </c>
      <c r="AA50" s="45"/>
      <c r="AB50" s="45"/>
      <c r="AC50" s="45"/>
      <c r="AD50" s="45"/>
      <c r="AE50" s="45"/>
    </row>
    <row r="51" spans="1:31">
      <c r="A51" s="2" t="s">
        <v>275</v>
      </c>
      <c r="B51" s="2" t="s">
        <v>118</v>
      </c>
      <c r="C51" s="3">
        <v>120</v>
      </c>
      <c r="D51" s="45"/>
      <c r="E51" s="45"/>
      <c r="F51" s="2" t="s">
        <v>30</v>
      </c>
      <c r="G51" s="2" t="s">
        <v>234</v>
      </c>
      <c r="H51" s="2">
        <v>1</v>
      </c>
      <c r="I51" s="2" t="s">
        <v>273</v>
      </c>
      <c r="J51" s="2" t="s">
        <v>236</v>
      </c>
      <c r="K51" s="2"/>
      <c r="L51" s="2" t="s">
        <v>34</v>
      </c>
      <c r="M51" s="2" t="s">
        <v>35</v>
      </c>
      <c r="N51" s="3">
        <v>914</v>
      </c>
      <c r="O51" s="3">
        <v>2134</v>
      </c>
      <c r="P51" s="2" t="s">
        <v>332</v>
      </c>
      <c r="Q51" s="2" t="s">
        <v>254</v>
      </c>
      <c r="R51" s="2" t="s">
        <v>41</v>
      </c>
      <c r="S51" s="2" t="s">
        <v>42</v>
      </c>
      <c r="T51" s="2" t="s">
        <v>41</v>
      </c>
      <c r="U51" s="2" t="s">
        <v>42</v>
      </c>
      <c r="V51" s="2" t="s">
        <v>254</v>
      </c>
      <c r="W51" s="45"/>
      <c r="X51" s="45" t="s">
        <v>249</v>
      </c>
      <c r="Y51" s="46">
        <v>4</v>
      </c>
      <c r="Z51" s="45" t="s">
        <v>59</v>
      </c>
      <c r="AA51" s="3">
        <v>0</v>
      </c>
      <c r="AB51" s="45"/>
      <c r="AC51" s="45"/>
      <c r="AD51" s="45"/>
      <c r="AE51" s="45"/>
    </row>
    <row r="52" spans="1:31">
      <c r="A52" s="2" t="s">
        <v>124</v>
      </c>
      <c r="B52" s="2" t="s">
        <v>85</v>
      </c>
      <c r="C52" s="2" t="s">
        <v>125</v>
      </c>
      <c r="D52" s="2" t="s">
        <v>118</v>
      </c>
      <c r="E52" s="3">
        <v>120</v>
      </c>
      <c r="F52" s="2" t="s">
        <v>30</v>
      </c>
      <c r="G52" s="2" t="s">
        <v>31</v>
      </c>
      <c r="H52" s="2">
        <v>1</v>
      </c>
      <c r="I52" s="2" t="s">
        <v>121</v>
      </c>
      <c r="J52" s="2" t="s">
        <v>122</v>
      </c>
      <c r="K52" s="2"/>
      <c r="L52" s="2" t="s">
        <v>34</v>
      </c>
      <c r="M52" s="2" t="s">
        <v>35</v>
      </c>
      <c r="N52" s="3">
        <v>914</v>
      </c>
      <c r="O52" s="3">
        <v>2134</v>
      </c>
      <c r="P52" s="2" t="s">
        <v>332</v>
      </c>
      <c r="Q52" s="2" t="s">
        <v>82</v>
      </c>
      <c r="R52" s="8" t="s">
        <v>38</v>
      </c>
      <c r="S52" s="2" t="s">
        <v>39</v>
      </c>
      <c r="T52" s="2" t="s">
        <v>41</v>
      </c>
      <c r="U52" s="2" t="s">
        <v>42</v>
      </c>
      <c r="V52" s="2"/>
      <c r="W52" s="45"/>
      <c r="X52" s="45" t="s">
        <v>83</v>
      </c>
      <c r="Y52" s="46">
        <v>34</v>
      </c>
      <c r="Z52" s="45" t="s">
        <v>77</v>
      </c>
      <c r="AA52" s="3">
        <v>0</v>
      </c>
      <c r="AB52" s="45"/>
      <c r="AC52" s="45"/>
      <c r="AD52" s="45"/>
      <c r="AE52" s="45"/>
    </row>
    <row r="53" spans="1:31">
      <c r="A53" s="2" t="s">
        <v>126</v>
      </c>
      <c r="B53" s="2" t="s">
        <v>54</v>
      </c>
      <c r="C53" s="2" t="s">
        <v>55</v>
      </c>
      <c r="D53" s="2" t="s">
        <v>118</v>
      </c>
      <c r="E53" s="3">
        <v>121</v>
      </c>
      <c r="F53" s="2" t="s">
        <v>30</v>
      </c>
      <c r="G53" s="2" t="s">
        <v>31</v>
      </c>
      <c r="H53" s="2">
        <v>1</v>
      </c>
      <c r="I53" s="2" t="s">
        <v>32</v>
      </c>
      <c r="J53" s="2" t="s">
        <v>33</v>
      </c>
      <c r="K53" s="2"/>
      <c r="L53" s="2" t="s">
        <v>34</v>
      </c>
      <c r="M53" s="2" t="s">
        <v>35</v>
      </c>
      <c r="N53" s="3">
        <v>914</v>
      </c>
      <c r="O53" s="3">
        <v>2134</v>
      </c>
      <c r="P53" s="2" t="s">
        <v>332</v>
      </c>
      <c r="Q53" s="2" t="s">
        <v>37</v>
      </c>
      <c r="R53" s="8" t="s">
        <v>38</v>
      </c>
      <c r="S53" s="2" t="s">
        <v>39</v>
      </c>
      <c r="T53" s="2" t="s">
        <v>41</v>
      </c>
      <c r="U53" s="2" t="s">
        <v>42</v>
      </c>
      <c r="V53" s="2"/>
      <c r="W53" s="45"/>
      <c r="X53" s="45" t="s">
        <v>58</v>
      </c>
      <c r="Y53" s="46">
        <v>25</v>
      </c>
      <c r="Z53" s="45" t="s">
        <v>46</v>
      </c>
      <c r="AA53" s="45"/>
      <c r="AB53" s="45"/>
      <c r="AC53" s="45"/>
      <c r="AD53" s="45"/>
      <c r="AE53" s="45"/>
    </row>
    <row r="54" spans="1:31">
      <c r="A54" s="2" t="s">
        <v>276</v>
      </c>
      <c r="B54" s="45"/>
      <c r="C54" s="45"/>
      <c r="D54" s="2" t="s">
        <v>118</v>
      </c>
      <c r="E54" s="3">
        <v>121</v>
      </c>
      <c r="F54" s="2" t="s">
        <v>30</v>
      </c>
      <c r="G54" s="2" t="s">
        <v>234</v>
      </c>
      <c r="H54" s="2">
        <v>1</v>
      </c>
      <c r="I54" s="2" t="s">
        <v>273</v>
      </c>
      <c r="J54" s="2" t="s">
        <v>236</v>
      </c>
      <c r="K54" s="2"/>
      <c r="L54" s="2" t="s">
        <v>34</v>
      </c>
      <c r="M54" s="2" t="s">
        <v>35</v>
      </c>
      <c r="N54" s="3">
        <v>914</v>
      </c>
      <c r="O54" s="3">
        <v>2134</v>
      </c>
      <c r="P54" s="2" t="s">
        <v>332</v>
      </c>
      <c r="Q54" s="2" t="s">
        <v>254</v>
      </c>
      <c r="R54" s="2" t="s">
        <v>41</v>
      </c>
      <c r="S54" s="2" t="s">
        <v>42</v>
      </c>
      <c r="T54" s="2" t="s">
        <v>41</v>
      </c>
      <c r="U54" s="2" t="s">
        <v>42</v>
      </c>
      <c r="V54" s="2" t="s">
        <v>254</v>
      </c>
      <c r="W54" s="45"/>
      <c r="X54" s="45" t="s">
        <v>249</v>
      </c>
      <c r="Y54" s="46">
        <v>4</v>
      </c>
      <c r="Z54" s="45" t="s">
        <v>59</v>
      </c>
      <c r="AA54" s="3">
        <v>0</v>
      </c>
      <c r="AB54" s="45"/>
      <c r="AC54" s="45"/>
      <c r="AD54" s="45"/>
      <c r="AE54" s="45"/>
    </row>
    <row r="55" spans="1:31">
      <c r="A55" s="2" t="s">
        <v>127</v>
      </c>
      <c r="B55" s="2" t="s">
        <v>118</v>
      </c>
      <c r="C55" s="3">
        <v>121</v>
      </c>
      <c r="D55" s="2" t="s">
        <v>85</v>
      </c>
      <c r="E55" s="2" t="s">
        <v>128</v>
      </c>
      <c r="F55" s="2" t="s">
        <v>30</v>
      </c>
      <c r="G55" s="2" t="s">
        <v>31</v>
      </c>
      <c r="H55" s="2">
        <v>1</v>
      </c>
      <c r="I55" s="2" t="s">
        <v>121</v>
      </c>
      <c r="J55" s="2" t="s">
        <v>122</v>
      </c>
      <c r="K55" s="2"/>
      <c r="L55" s="2" t="s">
        <v>34</v>
      </c>
      <c r="M55" s="2" t="s">
        <v>35</v>
      </c>
      <c r="N55" s="3">
        <v>914</v>
      </c>
      <c r="O55" s="3">
        <v>2134</v>
      </c>
      <c r="P55" s="2" t="s">
        <v>332</v>
      </c>
      <c r="Q55" s="2" t="s">
        <v>82</v>
      </c>
      <c r="R55" s="8" t="s">
        <v>38</v>
      </c>
      <c r="S55" s="2" t="s">
        <v>39</v>
      </c>
      <c r="T55" s="2" t="s">
        <v>41</v>
      </c>
      <c r="U55" s="2" t="s">
        <v>42</v>
      </c>
      <c r="V55" s="2"/>
      <c r="W55" s="45"/>
      <c r="X55" s="45" t="s">
        <v>83</v>
      </c>
      <c r="Y55" s="46">
        <v>34</v>
      </c>
      <c r="Z55" s="45" t="s">
        <v>77</v>
      </c>
      <c r="AA55" s="3">
        <v>0</v>
      </c>
      <c r="AB55" s="45"/>
      <c r="AC55" s="45"/>
      <c r="AD55" s="45"/>
      <c r="AE55" s="45"/>
    </row>
    <row r="56" spans="1:31">
      <c r="A56" s="2" t="s">
        <v>129</v>
      </c>
      <c r="B56" s="2" t="s">
        <v>54</v>
      </c>
      <c r="C56" s="2" t="s">
        <v>55</v>
      </c>
      <c r="D56" s="2" t="s">
        <v>118</v>
      </c>
      <c r="E56" s="3">
        <v>122</v>
      </c>
      <c r="F56" s="2" t="s">
        <v>30</v>
      </c>
      <c r="G56" s="2" t="s">
        <v>31</v>
      </c>
      <c r="H56" s="2">
        <v>1</v>
      </c>
      <c r="I56" s="2" t="s">
        <v>64</v>
      </c>
      <c r="J56" s="2" t="s">
        <v>65</v>
      </c>
      <c r="K56" s="2"/>
      <c r="L56" s="2" t="s">
        <v>34</v>
      </c>
      <c r="M56" s="2" t="s">
        <v>35</v>
      </c>
      <c r="N56" s="3">
        <v>914</v>
      </c>
      <c r="O56" s="3">
        <v>2134</v>
      </c>
      <c r="P56" s="2" t="s">
        <v>332</v>
      </c>
      <c r="Q56" s="2" t="s">
        <v>37</v>
      </c>
      <c r="R56" s="8" t="s">
        <v>38</v>
      </c>
      <c r="S56" s="2" t="s">
        <v>39</v>
      </c>
      <c r="T56" s="2" t="s">
        <v>41</v>
      </c>
      <c r="U56" s="2" t="s">
        <v>42</v>
      </c>
      <c r="V56" s="2"/>
      <c r="W56" s="45"/>
      <c r="X56" s="45" t="s">
        <v>58</v>
      </c>
      <c r="Y56" s="46">
        <v>25</v>
      </c>
      <c r="Z56" s="45" t="s">
        <v>46</v>
      </c>
      <c r="AA56" s="45"/>
      <c r="AB56" s="45"/>
      <c r="AC56" s="45"/>
      <c r="AD56" s="45"/>
      <c r="AE56" s="45"/>
    </row>
    <row r="57" spans="1:31">
      <c r="A57" s="2" t="s">
        <v>277</v>
      </c>
      <c r="B57" s="45"/>
      <c r="C57" s="45"/>
      <c r="D57" s="2" t="s">
        <v>118</v>
      </c>
      <c r="E57" s="3">
        <v>122</v>
      </c>
      <c r="F57" s="2" t="s">
        <v>30</v>
      </c>
      <c r="G57" s="2" t="s">
        <v>234</v>
      </c>
      <c r="H57" s="2">
        <v>1</v>
      </c>
      <c r="I57" s="2" t="s">
        <v>273</v>
      </c>
      <c r="J57" s="2" t="s">
        <v>236</v>
      </c>
      <c r="K57" s="2"/>
      <c r="L57" s="2" t="s">
        <v>34</v>
      </c>
      <c r="M57" s="2" t="s">
        <v>35</v>
      </c>
      <c r="N57" s="3">
        <v>914</v>
      </c>
      <c r="O57" s="3">
        <v>2134</v>
      </c>
      <c r="P57" s="2" t="s">
        <v>332</v>
      </c>
      <c r="Q57" s="2" t="s">
        <v>254</v>
      </c>
      <c r="R57" s="2" t="s">
        <v>41</v>
      </c>
      <c r="S57" s="2" t="s">
        <v>42</v>
      </c>
      <c r="T57" s="2" t="s">
        <v>41</v>
      </c>
      <c r="U57" s="2" t="s">
        <v>42</v>
      </c>
      <c r="V57" s="2" t="s">
        <v>254</v>
      </c>
      <c r="W57" s="45"/>
      <c r="X57" s="45" t="s">
        <v>249</v>
      </c>
      <c r="Y57" s="46">
        <v>4</v>
      </c>
      <c r="Z57" s="45" t="s">
        <v>59</v>
      </c>
      <c r="AA57" s="3">
        <v>0</v>
      </c>
      <c r="AB57" s="45"/>
      <c r="AC57" s="45"/>
      <c r="AD57" s="45"/>
      <c r="AE57" s="45"/>
    </row>
    <row r="58" spans="1:31">
      <c r="A58" s="2" t="s">
        <v>130</v>
      </c>
      <c r="B58" s="2" t="s">
        <v>118</v>
      </c>
      <c r="C58" s="3">
        <v>122</v>
      </c>
      <c r="D58" s="2" t="s">
        <v>85</v>
      </c>
      <c r="E58" s="2" t="s">
        <v>131</v>
      </c>
      <c r="F58" s="2" t="s">
        <v>30</v>
      </c>
      <c r="G58" s="2" t="s">
        <v>31</v>
      </c>
      <c r="H58" s="2">
        <v>1</v>
      </c>
      <c r="I58" s="2" t="s">
        <v>121</v>
      </c>
      <c r="J58" s="2" t="s">
        <v>122</v>
      </c>
      <c r="K58" s="2"/>
      <c r="L58" s="2" t="s">
        <v>34</v>
      </c>
      <c r="M58" s="2" t="s">
        <v>35</v>
      </c>
      <c r="N58" s="3">
        <v>914</v>
      </c>
      <c r="O58" s="3">
        <v>2134</v>
      </c>
      <c r="P58" s="2" t="s">
        <v>332</v>
      </c>
      <c r="Q58" s="2" t="s">
        <v>82</v>
      </c>
      <c r="R58" s="8" t="s">
        <v>38</v>
      </c>
      <c r="S58" s="2" t="s">
        <v>39</v>
      </c>
      <c r="T58" s="2" t="s">
        <v>41</v>
      </c>
      <c r="U58" s="2" t="s">
        <v>42</v>
      </c>
      <c r="V58" s="2"/>
      <c r="W58" s="45"/>
      <c r="X58" s="45" t="s">
        <v>83</v>
      </c>
      <c r="Y58" s="46">
        <v>34</v>
      </c>
      <c r="Z58" s="45" t="s">
        <v>77</v>
      </c>
      <c r="AA58" s="3">
        <v>0</v>
      </c>
      <c r="AB58" s="45"/>
      <c r="AC58" s="45"/>
      <c r="AD58" s="45"/>
      <c r="AE58" s="45"/>
    </row>
    <row r="59" spans="1:31">
      <c r="A59" s="2" t="s">
        <v>132</v>
      </c>
      <c r="B59" s="2" t="s">
        <v>118</v>
      </c>
      <c r="C59" s="3">
        <v>123</v>
      </c>
      <c r="D59" s="2" t="s">
        <v>54</v>
      </c>
      <c r="E59" s="2" t="s">
        <v>55</v>
      </c>
      <c r="F59" s="2" t="s">
        <v>30</v>
      </c>
      <c r="G59" s="2" t="s">
        <v>31</v>
      </c>
      <c r="H59" s="2">
        <v>1</v>
      </c>
      <c r="I59" s="2" t="s">
        <v>64</v>
      </c>
      <c r="J59" s="2" t="s">
        <v>65</v>
      </c>
      <c r="K59" s="2"/>
      <c r="L59" s="2" t="s">
        <v>34</v>
      </c>
      <c r="M59" s="2" t="s">
        <v>35</v>
      </c>
      <c r="N59" s="3">
        <v>914</v>
      </c>
      <c r="O59" s="3">
        <v>2134</v>
      </c>
      <c r="P59" s="2" t="s">
        <v>332</v>
      </c>
      <c r="Q59" s="2" t="s">
        <v>37</v>
      </c>
      <c r="R59" s="8" t="s">
        <v>38</v>
      </c>
      <c r="S59" s="2" t="s">
        <v>39</v>
      </c>
      <c r="T59" s="2" t="s">
        <v>41</v>
      </c>
      <c r="U59" s="2" t="s">
        <v>42</v>
      </c>
      <c r="V59" s="2"/>
      <c r="W59" s="45"/>
      <c r="X59" s="45" t="s">
        <v>58</v>
      </c>
      <c r="Y59" s="46">
        <v>25</v>
      </c>
      <c r="Z59" s="45" t="s">
        <v>46</v>
      </c>
      <c r="AA59" s="45"/>
      <c r="AB59" s="45"/>
      <c r="AC59" s="45"/>
      <c r="AD59" s="45"/>
      <c r="AE59" s="45"/>
    </row>
    <row r="60" spans="1:31">
      <c r="A60" s="2" t="s">
        <v>278</v>
      </c>
      <c r="B60" s="2" t="s">
        <v>118</v>
      </c>
      <c r="C60" s="3">
        <v>123</v>
      </c>
      <c r="D60" s="45"/>
      <c r="E60" s="45"/>
      <c r="F60" s="2" t="s">
        <v>30</v>
      </c>
      <c r="G60" s="2" t="s">
        <v>234</v>
      </c>
      <c r="H60" s="2">
        <v>1</v>
      </c>
      <c r="I60" s="2" t="s">
        <v>279</v>
      </c>
      <c r="J60" s="2" t="s">
        <v>236</v>
      </c>
      <c r="K60" s="2"/>
      <c r="L60" s="2" t="s">
        <v>34</v>
      </c>
      <c r="M60" s="2" t="s">
        <v>35</v>
      </c>
      <c r="N60" s="3">
        <v>914</v>
      </c>
      <c r="O60" s="3">
        <v>2134</v>
      </c>
      <c r="P60" s="2" t="s">
        <v>332</v>
      </c>
      <c r="Q60" s="2" t="s">
        <v>254</v>
      </c>
      <c r="R60" s="2" t="s">
        <v>41</v>
      </c>
      <c r="S60" s="2" t="s">
        <v>42</v>
      </c>
      <c r="T60" s="2" t="s">
        <v>41</v>
      </c>
      <c r="U60" s="2" t="s">
        <v>42</v>
      </c>
      <c r="V60" s="2" t="s">
        <v>254</v>
      </c>
      <c r="W60" s="45"/>
      <c r="X60" s="45" t="s">
        <v>249</v>
      </c>
      <c r="Y60" s="46">
        <v>4</v>
      </c>
      <c r="Z60" s="45" t="s">
        <v>59</v>
      </c>
      <c r="AA60" s="3">
        <v>0</v>
      </c>
      <c r="AB60" s="45"/>
      <c r="AC60" s="45"/>
      <c r="AD60" s="45"/>
      <c r="AE60" s="45"/>
    </row>
    <row r="61" spans="1:31">
      <c r="A61" s="2" t="s">
        <v>133</v>
      </c>
      <c r="B61" s="2" t="s">
        <v>118</v>
      </c>
      <c r="C61" s="3">
        <v>123</v>
      </c>
      <c r="D61" s="2" t="s">
        <v>85</v>
      </c>
      <c r="E61" s="2" t="s">
        <v>134</v>
      </c>
      <c r="F61" s="2" t="s">
        <v>30</v>
      </c>
      <c r="G61" s="2" t="s">
        <v>31</v>
      </c>
      <c r="H61" s="2">
        <v>1</v>
      </c>
      <c r="I61" s="2" t="s">
        <v>121</v>
      </c>
      <c r="J61" s="2" t="s">
        <v>122</v>
      </c>
      <c r="K61" s="2"/>
      <c r="L61" s="2" t="s">
        <v>34</v>
      </c>
      <c r="M61" s="2" t="s">
        <v>35</v>
      </c>
      <c r="N61" s="3">
        <v>914</v>
      </c>
      <c r="O61" s="3">
        <v>2134</v>
      </c>
      <c r="P61" s="2" t="s">
        <v>332</v>
      </c>
      <c r="Q61" s="2" t="s">
        <v>82</v>
      </c>
      <c r="R61" s="8" t="s">
        <v>38</v>
      </c>
      <c r="S61" s="2" t="s">
        <v>39</v>
      </c>
      <c r="T61" s="2" t="s">
        <v>41</v>
      </c>
      <c r="U61" s="2" t="s">
        <v>42</v>
      </c>
      <c r="V61" s="2"/>
      <c r="W61" s="45"/>
      <c r="X61" s="45" t="s">
        <v>83</v>
      </c>
      <c r="Y61" s="46">
        <v>34</v>
      </c>
      <c r="Z61" s="45" t="s">
        <v>77</v>
      </c>
      <c r="AA61" s="3">
        <v>0</v>
      </c>
      <c r="AB61" s="45"/>
      <c r="AC61" s="45"/>
      <c r="AD61" s="45"/>
      <c r="AE61" s="45"/>
    </row>
    <row r="62" spans="1:31">
      <c r="A62" s="2" t="s">
        <v>135</v>
      </c>
      <c r="B62" s="2" t="s">
        <v>54</v>
      </c>
      <c r="C62" s="2" t="s">
        <v>55</v>
      </c>
      <c r="D62" s="2" t="s">
        <v>118</v>
      </c>
      <c r="E62" s="3">
        <v>124</v>
      </c>
      <c r="F62" s="2" t="s">
        <v>30</v>
      </c>
      <c r="G62" s="2" t="s">
        <v>31</v>
      </c>
      <c r="H62" s="2">
        <v>1</v>
      </c>
      <c r="I62" s="2" t="s">
        <v>64</v>
      </c>
      <c r="J62" s="2" t="s">
        <v>65</v>
      </c>
      <c r="K62" s="2"/>
      <c r="L62" s="2" t="s">
        <v>34</v>
      </c>
      <c r="M62" s="2" t="s">
        <v>35</v>
      </c>
      <c r="N62" s="3">
        <v>914</v>
      </c>
      <c r="O62" s="3">
        <v>2134</v>
      </c>
      <c r="P62" s="2" t="s">
        <v>332</v>
      </c>
      <c r="Q62" s="2" t="s">
        <v>37</v>
      </c>
      <c r="R62" s="8" t="s">
        <v>38</v>
      </c>
      <c r="S62" s="2" t="s">
        <v>39</v>
      </c>
      <c r="T62" s="2" t="s">
        <v>41</v>
      </c>
      <c r="U62" s="2" t="s">
        <v>42</v>
      </c>
      <c r="V62" s="2"/>
      <c r="W62" s="45"/>
      <c r="X62" s="45" t="s">
        <v>58</v>
      </c>
      <c r="Y62" s="46">
        <v>24</v>
      </c>
      <c r="Z62" s="45" t="s">
        <v>59</v>
      </c>
      <c r="AA62" s="45"/>
      <c r="AB62" s="45"/>
      <c r="AC62" s="45"/>
      <c r="AD62" s="45"/>
      <c r="AE62" s="45"/>
    </row>
    <row r="63" spans="1:31">
      <c r="A63" s="2" t="s">
        <v>280</v>
      </c>
      <c r="B63" s="45"/>
      <c r="C63" s="45"/>
      <c r="D63" s="2" t="s">
        <v>118</v>
      </c>
      <c r="E63" s="3">
        <v>124</v>
      </c>
      <c r="F63" s="2" t="s">
        <v>30</v>
      </c>
      <c r="G63" s="2" t="s">
        <v>234</v>
      </c>
      <c r="H63" s="2">
        <v>1</v>
      </c>
      <c r="I63" s="2" t="s">
        <v>279</v>
      </c>
      <c r="J63" s="2" t="s">
        <v>236</v>
      </c>
      <c r="K63" s="2"/>
      <c r="L63" s="2" t="s">
        <v>34</v>
      </c>
      <c r="M63" s="2" t="s">
        <v>35</v>
      </c>
      <c r="N63" s="3">
        <v>914</v>
      </c>
      <c r="O63" s="3">
        <v>2134</v>
      </c>
      <c r="P63" s="2" t="s">
        <v>332</v>
      </c>
      <c r="Q63" s="2" t="s">
        <v>254</v>
      </c>
      <c r="R63" s="2" t="s">
        <v>41</v>
      </c>
      <c r="S63" s="2" t="s">
        <v>42</v>
      </c>
      <c r="T63" s="2" t="s">
        <v>41</v>
      </c>
      <c r="U63" s="2" t="s">
        <v>42</v>
      </c>
      <c r="V63" s="2" t="s">
        <v>254</v>
      </c>
      <c r="W63" s="45"/>
      <c r="X63" s="45" t="s">
        <v>249</v>
      </c>
      <c r="Y63" s="46">
        <v>4</v>
      </c>
      <c r="Z63" s="45" t="s">
        <v>59</v>
      </c>
      <c r="AA63" s="3">
        <v>0</v>
      </c>
      <c r="AB63" s="45"/>
      <c r="AC63" s="45"/>
      <c r="AD63" s="45"/>
      <c r="AE63" s="45"/>
    </row>
    <row r="64" spans="1:31">
      <c r="A64" s="2" t="s">
        <v>281</v>
      </c>
      <c r="B64" s="45"/>
      <c r="C64" s="45"/>
      <c r="D64" s="2" t="s">
        <v>118</v>
      </c>
      <c r="E64" s="3">
        <v>124</v>
      </c>
      <c r="F64" s="2" t="s">
        <v>30</v>
      </c>
      <c r="G64" s="2" t="s">
        <v>31</v>
      </c>
      <c r="H64" s="2">
        <v>1</v>
      </c>
      <c r="I64" s="2" t="s">
        <v>56</v>
      </c>
      <c r="J64" s="2" t="s">
        <v>57</v>
      </c>
      <c r="K64" s="2"/>
      <c r="L64" s="8" t="s">
        <v>66</v>
      </c>
      <c r="M64" s="2" t="s">
        <v>35</v>
      </c>
      <c r="N64" s="3">
        <v>1828</v>
      </c>
      <c r="O64" s="3">
        <v>2134</v>
      </c>
      <c r="P64" s="2" t="s">
        <v>332</v>
      </c>
      <c r="Q64" s="2" t="s">
        <v>265</v>
      </c>
      <c r="R64" s="2" t="s">
        <v>41</v>
      </c>
      <c r="S64" s="2" t="s">
        <v>42</v>
      </c>
      <c r="T64" s="2" t="s">
        <v>41</v>
      </c>
      <c r="U64" s="2" t="s">
        <v>42</v>
      </c>
      <c r="V64" s="2"/>
      <c r="W64" s="45"/>
      <c r="X64" s="45" t="s">
        <v>58</v>
      </c>
      <c r="Y64" s="46">
        <v>20</v>
      </c>
      <c r="Z64" s="45" t="s">
        <v>282</v>
      </c>
      <c r="AA64" s="45"/>
      <c r="AB64" s="45"/>
      <c r="AC64" s="45"/>
      <c r="AD64" s="45"/>
      <c r="AE64" s="45"/>
    </row>
    <row r="65" spans="1:31">
      <c r="A65" s="2" t="s">
        <v>136</v>
      </c>
      <c r="B65" s="2" t="s">
        <v>85</v>
      </c>
      <c r="C65" s="2" t="s">
        <v>137</v>
      </c>
      <c r="D65" s="2" t="s">
        <v>118</v>
      </c>
      <c r="E65" s="3">
        <v>124</v>
      </c>
      <c r="F65" s="2" t="s">
        <v>30</v>
      </c>
      <c r="G65" s="2" t="s">
        <v>31</v>
      </c>
      <c r="H65" s="2">
        <v>1</v>
      </c>
      <c r="I65" s="2" t="s">
        <v>121</v>
      </c>
      <c r="J65" s="2" t="s">
        <v>122</v>
      </c>
      <c r="K65" s="2"/>
      <c r="L65" s="2" t="s">
        <v>34</v>
      </c>
      <c r="M65" s="2" t="s">
        <v>35</v>
      </c>
      <c r="N65" s="3">
        <v>914</v>
      </c>
      <c r="O65" s="3">
        <v>2134</v>
      </c>
      <c r="P65" s="2" t="s">
        <v>332</v>
      </c>
      <c r="Q65" s="2" t="s">
        <v>82</v>
      </c>
      <c r="R65" s="8" t="s">
        <v>38</v>
      </c>
      <c r="S65" s="2" t="s">
        <v>39</v>
      </c>
      <c r="T65" s="2" t="s">
        <v>41</v>
      </c>
      <c r="U65" s="2" t="s">
        <v>42</v>
      </c>
      <c r="V65" s="2"/>
      <c r="W65" s="45"/>
      <c r="X65" s="45" t="s">
        <v>83</v>
      </c>
      <c r="Y65" s="46">
        <v>34</v>
      </c>
      <c r="Z65" s="45" t="s">
        <v>77</v>
      </c>
      <c r="AA65" s="3">
        <v>0</v>
      </c>
      <c r="AB65" s="45"/>
      <c r="AC65" s="45"/>
      <c r="AD65" s="45"/>
      <c r="AE65" s="45"/>
    </row>
    <row r="66" spans="1:31">
      <c r="A66" s="2" t="s">
        <v>283</v>
      </c>
      <c r="B66" s="2" t="s">
        <v>284</v>
      </c>
      <c r="C66" s="3">
        <v>125</v>
      </c>
      <c r="D66" s="2" t="s">
        <v>54</v>
      </c>
      <c r="E66" s="2" t="s">
        <v>55</v>
      </c>
      <c r="F66" s="2" t="s">
        <v>30</v>
      </c>
      <c r="G66" s="2" t="s">
        <v>31</v>
      </c>
      <c r="H66" s="2">
        <v>1</v>
      </c>
      <c r="I66" s="2" t="s">
        <v>64</v>
      </c>
      <c r="J66" s="2" t="s">
        <v>65</v>
      </c>
      <c r="K66" s="2"/>
      <c r="L66" s="2" t="s">
        <v>34</v>
      </c>
      <c r="M66" s="2" t="s">
        <v>35</v>
      </c>
      <c r="N66" s="3">
        <v>914</v>
      </c>
      <c r="O66" s="3">
        <v>2134</v>
      </c>
      <c r="P66" s="2" t="s">
        <v>332</v>
      </c>
      <c r="Q66" s="2" t="s">
        <v>285</v>
      </c>
      <c r="R66" s="2" t="s">
        <v>41</v>
      </c>
      <c r="S66" s="2" t="s">
        <v>42</v>
      </c>
      <c r="T66" s="2" t="s">
        <v>41</v>
      </c>
      <c r="U66" s="2" t="s">
        <v>42</v>
      </c>
      <c r="V66" s="2"/>
      <c r="W66" s="8" t="s">
        <v>213</v>
      </c>
      <c r="X66" s="45" t="s">
        <v>88</v>
      </c>
      <c r="Y66" s="46">
        <v>43</v>
      </c>
      <c r="Z66" s="2" t="s">
        <v>286</v>
      </c>
      <c r="AA66" s="3">
        <v>0</v>
      </c>
      <c r="AB66" s="45"/>
      <c r="AC66" s="45"/>
      <c r="AD66" s="45"/>
      <c r="AE66" s="45"/>
    </row>
    <row r="67" spans="1:31">
      <c r="A67" s="2" t="s">
        <v>287</v>
      </c>
      <c r="B67" s="2" t="s">
        <v>288</v>
      </c>
      <c r="C67" s="2" t="s">
        <v>289</v>
      </c>
      <c r="D67" s="45"/>
      <c r="E67" s="45"/>
      <c r="F67" s="2" t="s">
        <v>30</v>
      </c>
      <c r="G67" s="2" t="s">
        <v>234</v>
      </c>
      <c r="H67" s="2">
        <v>1</v>
      </c>
      <c r="I67" s="2" t="s">
        <v>235</v>
      </c>
      <c r="J67" s="2" t="s">
        <v>236</v>
      </c>
      <c r="K67" s="2"/>
      <c r="L67" s="2" t="s">
        <v>34</v>
      </c>
      <c r="M67" s="2" t="s">
        <v>35</v>
      </c>
      <c r="N67" s="3">
        <v>914</v>
      </c>
      <c r="O67" s="3">
        <v>2134</v>
      </c>
      <c r="P67" s="2" t="s">
        <v>332</v>
      </c>
      <c r="Q67" s="2" t="s">
        <v>290</v>
      </c>
      <c r="R67" s="2" t="s">
        <v>41</v>
      </c>
      <c r="S67" s="2" t="s">
        <v>42</v>
      </c>
      <c r="T67" s="2" t="s">
        <v>41</v>
      </c>
      <c r="U67" s="2" t="s">
        <v>42</v>
      </c>
      <c r="V67" s="2"/>
      <c r="W67" s="45"/>
      <c r="X67" s="45" t="s">
        <v>88</v>
      </c>
      <c r="Y67" s="46">
        <v>7</v>
      </c>
      <c r="Z67" s="45" t="s">
        <v>59</v>
      </c>
      <c r="AA67" s="3">
        <v>0</v>
      </c>
      <c r="AB67" s="45"/>
      <c r="AC67" s="45"/>
      <c r="AD67" s="45"/>
      <c r="AE67" s="45"/>
    </row>
    <row r="68" spans="1:31">
      <c r="A68" s="2" t="s">
        <v>291</v>
      </c>
      <c r="B68" s="2" t="s">
        <v>212</v>
      </c>
      <c r="C68" s="2" t="s">
        <v>292</v>
      </c>
      <c r="D68" s="45"/>
      <c r="E68" s="45"/>
      <c r="F68" s="2" t="s">
        <v>30</v>
      </c>
      <c r="G68" s="2" t="s">
        <v>234</v>
      </c>
      <c r="H68" s="2">
        <v>1</v>
      </c>
      <c r="I68" s="2" t="s">
        <v>235</v>
      </c>
      <c r="J68" s="2" t="s">
        <v>236</v>
      </c>
      <c r="K68" s="2"/>
      <c r="L68" s="2" t="s">
        <v>34</v>
      </c>
      <c r="M68" s="2" t="s">
        <v>35</v>
      </c>
      <c r="N68" s="3">
        <v>914</v>
      </c>
      <c r="O68" s="3">
        <v>2134</v>
      </c>
      <c r="P68" s="2" t="s">
        <v>332</v>
      </c>
      <c r="Q68" s="2" t="s">
        <v>290</v>
      </c>
      <c r="R68" s="2" t="s">
        <v>41</v>
      </c>
      <c r="S68" s="2" t="s">
        <v>42</v>
      </c>
      <c r="T68" s="2" t="s">
        <v>41</v>
      </c>
      <c r="U68" s="2" t="s">
        <v>42</v>
      </c>
      <c r="V68" s="2"/>
      <c r="W68" s="45"/>
      <c r="X68" s="45" t="s">
        <v>88</v>
      </c>
      <c r="Y68" s="46">
        <v>7</v>
      </c>
      <c r="Z68" s="45" t="s">
        <v>59</v>
      </c>
      <c r="AA68" s="3">
        <v>0</v>
      </c>
      <c r="AB68" s="45"/>
      <c r="AC68" s="45"/>
      <c r="AD68" s="45"/>
      <c r="AE68" s="45"/>
    </row>
    <row r="69" spans="1:31">
      <c r="A69" s="2" t="s">
        <v>138</v>
      </c>
      <c r="B69" s="2" t="s">
        <v>54</v>
      </c>
      <c r="C69" s="2" t="s">
        <v>55</v>
      </c>
      <c r="D69" s="2" t="s">
        <v>139</v>
      </c>
      <c r="E69" s="3">
        <v>126</v>
      </c>
      <c r="F69" s="2" t="s">
        <v>30</v>
      </c>
      <c r="G69" s="2" t="s">
        <v>31</v>
      </c>
      <c r="H69" s="2">
        <v>1</v>
      </c>
      <c r="I69" s="2" t="s">
        <v>64</v>
      </c>
      <c r="J69" s="2" t="s">
        <v>65</v>
      </c>
      <c r="K69" s="2"/>
      <c r="L69" s="2" t="s">
        <v>34</v>
      </c>
      <c r="M69" s="2" t="s">
        <v>35</v>
      </c>
      <c r="N69" s="3">
        <v>914</v>
      </c>
      <c r="O69" s="3">
        <v>2134</v>
      </c>
      <c r="P69" s="2" t="s">
        <v>332</v>
      </c>
      <c r="Q69" s="2" t="s">
        <v>82</v>
      </c>
      <c r="R69" s="8" t="s">
        <v>38</v>
      </c>
      <c r="S69" s="2" t="s">
        <v>39</v>
      </c>
      <c r="T69" s="2" t="s">
        <v>41</v>
      </c>
      <c r="U69" s="2" t="s">
        <v>42</v>
      </c>
      <c r="V69" s="2"/>
      <c r="W69" s="2" t="s">
        <v>140</v>
      </c>
      <c r="X69" s="45" t="s">
        <v>88</v>
      </c>
      <c r="Y69" s="46">
        <v>38</v>
      </c>
      <c r="Z69" s="2" t="s">
        <v>59</v>
      </c>
      <c r="AA69" s="3">
        <v>0</v>
      </c>
      <c r="AB69" s="45"/>
      <c r="AC69" s="45"/>
      <c r="AD69" s="45"/>
      <c r="AE69" s="45"/>
    </row>
    <row r="70" spans="1:31">
      <c r="A70" s="2" t="s">
        <v>141</v>
      </c>
      <c r="B70" s="2" t="s">
        <v>54</v>
      </c>
      <c r="C70" s="2" t="s">
        <v>55</v>
      </c>
      <c r="D70" s="2" t="s">
        <v>142</v>
      </c>
      <c r="E70" s="3">
        <v>127</v>
      </c>
      <c r="F70" s="2" t="s">
        <v>30</v>
      </c>
      <c r="G70" s="2" t="s">
        <v>31</v>
      </c>
      <c r="H70" s="2">
        <v>1</v>
      </c>
      <c r="I70" s="2" t="s">
        <v>64</v>
      </c>
      <c r="J70" s="2" t="s">
        <v>65</v>
      </c>
      <c r="K70" s="2"/>
      <c r="L70" s="2" t="s">
        <v>34</v>
      </c>
      <c r="M70" s="2" t="s">
        <v>35</v>
      </c>
      <c r="N70" s="3">
        <v>914</v>
      </c>
      <c r="O70" s="3">
        <v>2134</v>
      </c>
      <c r="P70" s="2" t="s">
        <v>332</v>
      </c>
      <c r="Q70" s="2" t="s">
        <v>37</v>
      </c>
      <c r="R70" s="8" t="s">
        <v>38</v>
      </c>
      <c r="S70" s="2" t="s">
        <v>39</v>
      </c>
      <c r="T70" s="2" t="s">
        <v>41</v>
      </c>
      <c r="U70" s="2" t="s">
        <v>42</v>
      </c>
      <c r="V70" s="2"/>
      <c r="W70" s="45"/>
      <c r="X70" s="45" t="s">
        <v>58</v>
      </c>
      <c r="Y70" s="46">
        <v>25</v>
      </c>
      <c r="Z70" s="45" t="s">
        <v>46</v>
      </c>
      <c r="AA70" s="3">
        <v>0</v>
      </c>
      <c r="AB70" s="45"/>
      <c r="AC70" s="45"/>
      <c r="AD70" s="45"/>
      <c r="AE70" s="45"/>
    </row>
    <row r="71" spans="1:31">
      <c r="A71" s="2" t="s">
        <v>293</v>
      </c>
      <c r="B71" s="2" t="s">
        <v>142</v>
      </c>
      <c r="C71" s="3">
        <v>127</v>
      </c>
      <c r="D71" s="45"/>
      <c r="E71" s="45"/>
      <c r="F71" s="2" t="s">
        <v>30</v>
      </c>
      <c r="G71" s="2" t="s">
        <v>234</v>
      </c>
      <c r="H71" s="2">
        <v>1</v>
      </c>
      <c r="I71" s="2" t="s">
        <v>247</v>
      </c>
      <c r="J71" s="2" t="s">
        <v>236</v>
      </c>
      <c r="K71" s="2"/>
      <c r="L71" s="2" t="s">
        <v>34</v>
      </c>
      <c r="M71" s="2" t="s">
        <v>35</v>
      </c>
      <c r="N71" s="3">
        <v>914</v>
      </c>
      <c r="O71" s="3">
        <v>2134</v>
      </c>
      <c r="P71" s="2" t="s">
        <v>332</v>
      </c>
      <c r="Q71" s="2" t="s">
        <v>254</v>
      </c>
      <c r="R71" s="2" t="s">
        <v>41</v>
      </c>
      <c r="S71" s="2" t="s">
        <v>42</v>
      </c>
      <c r="T71" s="2" t="s">
        <v>41</v>
      </c>
      <c r="U71" s="2" t="s">
        <v>42</v>
      </c>
      <c r="V71" s="2" t="s">
        <v>254</v>
      </c>
      <c r="W71" s="45"/>
      <c r="X71" s="45" t="s">
        <v>249</v>
      </c>
      <c r="Y71" s="46">
        <v>5</v>
      </c>
      <c r="Z71" s="45" t="s">
        <v>89</v>
      </c>
      <c r="AA71" s="3">
        <v>0</v>
      </c>
      <c r="AB71" s="3">
        <v>0</v>
      </c>
      <c r="AC71" s="45"/>
      <c r="AD71" s="45"/>
      <c r="AE71" s="45"/>
    </row>
    <row r="72" spans="1:31">
      <c r="A72" s="2" t="s">
        <v>143</v>
      </c>
      <c r="B72" s="2" t="s">
        <v>142</v>
      </c>
      <c r="C72" s="3">
        <v>127</v>
      </c>
      <c r="D72" s="2" t="s">
        <v>75</v>
      </c>
      <c r="E72" s="2" t="s">
        <v>144</v>
      </c>
      <c r="F72" s="2" t="s">
        <v>30</v>
      </c>
      <c r="G72" s="2" t="s">
        <v>31</v>
      </c>
      <c r="H72" s="2">
        <v>1</v>
      </c>
      <c r="I72" s="2" t="s">
        <v>32</v>
      </c>
      <c r="J72" s="2" t="s">
        <v>33</v>
      </c>
      <c r="K72" s="2"/>
      <c r="L72" s="2" t="s">
        <v>34</v>
      </c>
      <c r="M72" s="2" t="s">
        <v>35</v>
      </c>
      <c r="N72" s="3">
        <v>914</v>
      </c>
      <c r="O72" s="3">
        <v>2134</v>
      </c>
      <c r="P72" s="2" t="s">
        <v>332</v>
      </c>
      <c r="Q72" s="2" t="s">
        <v>37</v>
      </c>
      <c r="R72" s="8" t="s">
        <v>38</v>
      </c>
      <c r="S72" s="2" t="s">
        <v>39</v>
      </c>
      <c r="T72" s="2" t="s">
        <v>41</v>
      </c>
      <c r="U72" s="2" t="s">
        <v>42</v>
      </c>
      <c r="V72" s="2"/>
      <c r="W72" s="45"/>
      <c r="X72" s="45" t="s">
        <v>58</v>
      </c>
      <c r="Y72" s="46">
        <v>21</v>
      </c>
      <c r="Z72" s="45" t="s">
        <v>145</v>
      </c>
      <c r="AA72" s="45"/>
      <c r="AB72" s="45"/>
      <c r="AC72" s="45"/>
      <c r="AD72" s="45"/>
      <c r="AE72" s="45"/>
    </row>
    <row r="73" spans="1:31">
      <c r="A73" s="2" t="s">
        <v>146</v>
      </c>
      <c r="B73" s="2" t="s">
        <v>142</v>
      </c>
      <c r="C73" s="3">
        <v>131</v>
      </c>
      <c r="D73" s="2" t="s">
        <v>75</v>
      </c>
      <c r="E73" s="2" t="s">
        <v>144</v>
      </c>
      <c r="F73" s="2" t="s">
        <v>30</v>
      </c>
      <c r="G73" s="2" t="s">
        <v>31</v>
      </c>
      <c r="H73" s="2">
        <v>1</v>
      </c>
      <c r="I73" s="2" t="s">
        <v>32</v>
      </c>
      <c r="J73" s="2" t="s">
        <v>33</v>
      </c>
      <c r="K73" s="2"/>
      <c r="L73" s="2" t="s">
        <v>34</v>
      </c>
      <c r="M73" s="2" t="s">
        <v>35</v>
      </c>
      <c r="N73" s="3">
        <v>914</v>
      </c>
      <c r="O73" s="3">
        <v>2134</v>
      </c>
      <c r="P73" s="2" t="s">
        <v>332</v>
      </c>
      <c r="Q73" s="2" t="s">
        <v>37</v>
      </c>
      <c r="R73" s="8" t="s">
        <v>38</v>
      </c>
      <c r="S73" s="2" t="s">
        <v>39</v>
      </c>
      <c r="T73" s="2" t="s">
        <v>41</v>
      </c>
      <c r="U73" s="2" t="s">
        <v>42</v>
      </c>
      <c r="V73" s="2"/>
      <c r="W73" s="45"/>
      <c r="X73" s="45" t="s">
        <v>58</v>
      </c>
      <c r="Y73" s="46">
        <v>21</v>
      </c>
      <c r="Z73" s="45" t="s">
        <v>145</v>
      </c>
      <c r="AA73" s="45"/>
      <c r="AB73" s="45"/>
      <c r="AC73" s="45"/>
      <c r="AD73" s="45"/>
      <c r="AE73" s="45"/>
    </row>
    <row r="74" spans="1:31">
      <c r="A74" s="2" t="s">
        <v>147</v>
      </c>
      <c r="B74" s="2" t="s">
        <v>142</v>
      </c>
      <c r="C74" s="3">
        <v>127</v>
      </c>
      <c r="D74" s="2" t="s">
        <v>148</v>
      </c>
      <c r="E74" s="2" t="s">
        <v>149</v>
      </c>
      <c r="F74" s="2" t="s">
        <v>30</v>
      </c>
      <c r="G74" s="2" t="s">
        <v>31</v>
      </c>
      <c r="H74" s="2">
        <v>1</v>
      </c>
      <c r="I74" s="2" t="s">
        <v>121</v>
      </c>
      <c r="J74" s="2" t="s">
        <v>122</v>
      </c>
      <c r="K74" s="2"/>
      <c r="L74" s="2" t="s">
        <v>34</v>
      </c>
      <c r="M74" s="2" t="s">
        <v>35</v>
      </c>
      <c r="N74" s="3">
        <v>914</v>
      </c>
      <c r="O74" s="3">
        <v>2134</v>
      </c>
      <c r="P74" s="2" t="s">
        <v>332</v>
      </c>
      <c r="Q74" s="2" t="s">
        <v>82</v>
      </c>
      <c r="R74" s="8" t="s">
        <v>38</v>
      </c>
      <c r="S74" s="2" t="s">
        <v>39</v>
      </c>
      <c r="T74" s="2" t="s">
        <v>41</v>
      </c>
      <c r="U74" s="2" t="s">
        <v>42</v>
      </c>
      <c r="V74" s="2"/>
      <c r="W74" s="45"/>
      <c r="X74" s="45" t="s">
        <v>88</v>
      </c>
      <c r="Y74" s="46">
        <v>37</v>
      </c>
      <c r="Z74" s="45" t="s">
        <v>59</v>
      </c>
      <c r="AA74" s="3">
        <v>0</v>
      </c>
      <c r="AB74" s="45"/>
      <c r="AC74" s="45"/>
      <c r="AD74" s="45"/>
      <c r="AE74" s="45"/>
    </row>
    <row r="75" spans="1:31">
      <c r="A75" s="2" t="s">
        <v>150</v>
      </c>
      <c r="B75" s="2" t="s">
        <v>85</v>
      </c>
      <c r="C75" s="3">
        <v>128</v>
      </c>
      <c r="D75" s="2" t="s">
        <v>54</v>
      </c>
      <c r="E75" s="2" t="s">
        <v>55</v>
      </c>
      <c r="F75" s="2" t="s">
        <v>30</v>
      </c>
      <c r="G75" s="2" t="s">
        <v>31</v>
      </c>
      <c r="H75" s="2">
        <v>1</v>
      </c>
      <c r="I75" s="2" t="s">
        <v>64</v>
      </c>
      <c r="J75" s="2" t="s">
        <v>65</v>
      </c>
      <c r="K75" s="2"/>
      <c r="L75" s="8" t="s">
        <v>81</v>
      </c>
      <c r="M75" s="2" t="s">
        <v>35</v>
      </c>
      <c r="N75" s="3">
        <v>813</v>
      </c>
      <c r="O75" s="3">
        <v>2134</v>
      </c>
      <c r="P75" s="2" t="s">
        <v>332</v>
      </c>
      <c r="Q75" s="2" t="s">
        <v>82</v>
      </c>
      <c r="R75" s="8" t="s">
        <v>38</v>
      </c>
      <c r="S75" s="2" t="s">
        <v>39</v>
      </c>
      <c r="T75" s="2" t="s">
        <v>41</v>
      </c>
      <c r="U75" s="2" t="s">
        <v>42</v>
      </c>
      <c r="V75" s="2"/>
      <c r="W75" s="45"/>
      <c r="X75" s="45" t="s">
        <v>83</v>
      </c>
      <c r="Y75" s="46">
        <v>33</v>
      </c>
      <c r="Z75" s="45" t="s">
        <v>59</v>
      </c>
      <c r="AA75" s="3">
        <v>0</v>
      </c>
      <c r="AB75" s="45"/>
      <c r="AC75" s="45"/>
      <c r="AD75" s="45"/>
      <c r="AE75" s="3">
        <v>0</v>
      </c>
    </row>
    <row r="76" spans="1:31">
      <c r="A76" s="2" t="s">
        <v>151</v>
      </c>
      <c r="B76" s="2" t="s">
        <v>85</v>
      </c>
      <c r="C76" s="3">
        <v>129</v>
      </c>
      <c r="D76" s="2" t="s">
        <v>54</v>
      </c>
      <c r="E76" s="2" t="s">
        <v>55</v>
      </c>
      <c r="F76" s="2" t="s">
        <v>30</v>
      </c>
      <c r="G76" s="2" t="s">
        <v>31</v>
      </c>
      <c r="H76" s="2">
        <v>1</v>
      </c>
      <c r="I76" s="2" t="s">
        <v>64</v>
      </c>
      <c r="J76" s="2" t="s">
        <v>65</v>
      </c>
      <c r="K76" s="2"/>
      <c r="L76" s="8" t="s">
        <v>81</v>
      </c>
      <c r="M76" s="2" t="s">
        <v>35</v>
      </c>
      <c r="N76" s="3">
        <v>813</v>
      </c>
      <c r="O76" s="3">
        <v>2134</v>
      </c>
      <c r="P76" s="2" t="s">
        <v>332</v>
      </c>
      <c r="Q76" s="2" t="s">
        <v>82</v>
      </c>
      <c r="R76" s="8" t="s">
        <v>38</v>
      </c>
      <c r="S76" s="2" t="s">
        <v>39</v>
      </c>
      <c r="T76" s="2" t="s">
        <v>41</v>
      </c>
      <c r="U76" s="2" t="s">
        <v>42</v>
      </c>
      <c r="V76" s="2"/>
      <c r="W76" s="45"/>
      <c r="X76" s="45" t="s">
        <v>83</v>
      </c>
      <c r="Y76" s="46">
        <v>33</v>
      </c>
      <c r="Z76" s="45" t="s">
        <v>59</v>
      </c>
      <c r="AA76" s="3">
        <v>0</v>
      </c>
      <c r="AB76" s="45"/>
      <c r="AC76" s="45"/>
      <c r="AD76" s="45"/>
      <c r="AE76" s="3">
        <v>0</v>
      </c>
    </row>
    <row r="77" spans="1:31">
      <c r="A77" s="2" t="s">
        <v>152</v>
      </c>
      <c r="B77" s="2" t="s">
        <v>54</v>
      </c>
      <c r="C77" s="2" t="s">
        <v>55</v>
      </c>
      <c r="D77" s="2" t="s">
        <v>87</v>
      </c>
      <c r="E77" s="3">
        <v>130</v>
      </c>
      <c r="F77" s="2" t="s">
        <v>30</v>
      </c>
      <c r="G77" s="2" t="s">
        <v>31</v>
      </c>
      <c r="H77" s="2">
        <v>1</v>
      </c>
      <c r="I77" s="2" t="s">
        <v>64</v>
      </c>
      <c r="J77" s="2" t="s">
        <v>65</v>
      </c>
      <c r="K77" s="2"/>
      <c r="L77" s="2" t="s">
        <v>34</v>
      </c>
      <c r="M77" s="2" t="s">
        <v>35</v>
      </c>
      <c r="N77" s="3">
        <v>914</v>
      </c>
      <c r="O77" s="3">
        <v>2134</v>
      </c>
      <c r="P77" s="2" t="s">
        <v>332</v>
      </c>
      <c r="Q77" s="2" t="s">
        <v>82</v>
      </c>
      <c r="R77" s="8" t="s">
        <v>38</v>
      </c>
      <c r="S77" s="2" t="s">
        <v>39</v>
      </c>
      <c r="T77" s="2" t="s">
        <v>41</v>
      </c>
      <c r="U77" s="2" t="s">
        <v>42</v>
      </c>
      <c r="V77" s="2"/>
      <c r="W77" s="45"/>
      <c r="X77" s="45" t="s">
        <v>88</v>
      </c>
      <c r="Y77" s="46">
        <v>13</v>
      </c>
      <c r="Z77" s="45" t="s">
        <v>89</v>
      </c>
      <c r="AA77" s="3">
        <v>0</v>
      </c>
      <c r="AB77" s="3">
        <v>0</v>
      </c>
      <c r="AC77" s="45"/>
      <c r="AD77" s="45"/>
      <c r="AE77" s="45"/>
    </row>
    <row r="78" spans="1:31">
      <c r="A78" s="2" t="s">
        <v>153</v>
      </c>
      <c r="B78" s="2" t="s">
        <v>54</v>
      </c>
      <c r="C78" s="2" t="s">
        <v>55</v>
      </c>
      <c r="D78" s="2" t="s">
        <v>142</v>
      </c>
      <c r="E78" s="3">
        <v>131</v>
      </c>
      <c r="F78" s="2" t="s">
        <v>30</v>
      </c>
      <c r="G78" s="2" t="s">
        <v>31</v>
      </c>
      <c r="H78" s="2">
        <v>1</v>
      </c>
      <c r="I78" s="2" t="s">
        <v>64</v>
      </c>
      <c r="J78" s="2" t="s">
        <v>65</v>
      </c>
      <c r="K78" s="2"/>
      <c r="L78" s="2" t="s">
        <v>34</v>
      </c>
      <c r="M78" s="2" t="s">
        <v>35</v>
      </c>
      <c r="N78" s="3">
        <v>914</v>
      </c>
      <c r="O78" s="3">
        <v>2134</v>
      </c>
      <c r="P78" s="2" t="s">
        <v>332</v>
      </c>
      <c r="Q78" s="2" t="s">
        <v>37</v>
      </c>
      <c r="R78" s="8" t="s">
        <v>38</v>
      </c>
      <c r="S78" s="2" t="s">
        <v>39</v>
      </c>
      <c r="T78" s="2" t="s">
        <v>41</v>
      </c>
      <c r="U78" s="2" t="s">
        <v>42</v>
      </c>
      <c r="V78" s="2"/>
      <c r="W78" s="45"/>
      <c r="X78" s="45" t="s">
        <v>58</v>
      </c>
      <c r="Y78" s="46">
        <v>25</v>
      </c>
      <c r="Z78" s="45" t="s">
        <v>46</v>
      </c>
      <c r="AA78" s="3">
        <v>0</v>
      </c>
      <c r="AB78" s="45"/>
      <c r="AC78" s="45"/>
      <c r="AD78" s="45"/>
      <c r="AE78" s="45"/>
    </row>
    <row r="79" spans="1:31">
      <c r="A79" s="2" t="s">
        <v>294</v>
      </c>
      <c r="B79" s="45"/>
      <c r="C79" s="45"/>
      <c r="D79" s="2" t="s">
        <v>142</v>
      </c>
      <c r="E79" s="3">
        <v>131</v>
      </c>
      <c r="F79" s="2" t="s">
        <v>30</v>
      </c>
      <c r="G79" s="2" t="s">
        <v>234</v>
      </c>
      <c r="H79" s="2">
        <v>1</v>
      </c>
      <c r="I79" s="2" t="s">
        <v>247</v>
      </c>
      <c r="J79" s="2" t="s">
        <v>236</v>
      </c>
      <c r="K79" s="2"/>
      <c r="L79" s="2" t="s">
        <v>34</v>
      </c>
      <c r="M79" s="2" t="s">
        <v>35</v>
      </c>
      <c r="N79" s="3">
        <v>914</v>
      </c>
      <c r="O79" s="3">
        <v>2134</v>
      </c>
      <c r="P79" s="2" t="s">
        <v>332</v>
      </c>
      <c r="Q79" s="2" t="s">
        <v>254</v>
      </c>
      <c r="R79" s="2" t="s">
        <v>41</v>
      </c>
      <c r="S79" s="2" t="s">
        <v>42</v>
      </c>
      <c r="T79" s="2" t="s">
        <v>41</v>
      </c>
      <c r="U79" s="2" t="s">
        <v>42</v>
      </c>
      <c r="V79" s="2" t="s">
        <v>254</v>
      </c>
      <c r="W79" s="45"/>
      <c r="X79" s="45" t="s">
        <v>249</v>
      </c>
      <c r="Y79" s="46">
        <v>5</v>
      </c>
      <c r="Z79" s="45" t="s">
        <v>89</v>
      </c>
      <c r="AA79" s="3">
        <v>0</v>
      </c>
      <c r="AB79" s="3">
        <v>0</v>
      </c>
      <c r="AC79" s="45"/>
      <c r="AD79" s="45"/>
      <c r="AE79" s="45"/>
    </row>
    <row r="80" spans="1:31">
      <c r="A80" s="2" t="s">
        <v>154</v>
      </c>
      <c r="B80" s="2" t="s">
        <v>148</v>
      </c>
      <c r="C80" s="2" t="s">
        <v>155</v>
      </c>
      <c r="D80" s="2" t="s">
        <v>142</v>
      </c>
      <c r="E80" s="3">
        <v>131</v>
      </c>
      <c r="F80" s="2" t="s">
        <v>30</v>
      </c>
      <c r="G80" s="2" t="s">
        <v>31</v>
      </c>
      <c r="H80" s="2">
        <v>1</v>
      </c>
      <c r="I80" s="2" t="s">
        <v>121</v>
      </c>
      <c r="J80" s="2" t="s">
        <v>122</v>
      </c>
      <c r="K80" s="2"/>
      <c r="L80" s="2" t="s">
        <v>34</v>
      </c>
      <c r="M80" s="2" t="s">
        <v>35</v>
      </c>
      <c r="N80" s="3">
        <v>914</v>
      </c>
      <c r="O80" s="3">
        <v>2134</v>
      </c>
      <c r="P80" s="2" t="s">
        <v>332</v>
      </c>
      <c r="Q80" s="2" t="s">
        <v>82</v>
      </c>
      <c r="R80" s="8" t="s">
        <v>38</v>
      </c>
      <c r="S80" s="2" t="s">
        <v>39</v>
      </c>
      <c r="T80" s="2" t="s">
        <v>41</v>
      </c>
      <c r="U80" s="2" t="s">
        <v>42</v>
      </c>
      <c r="V80" s="2"/>
      <c r="W80" s="45"/>
      <c r="X80" s="45" t="s">
        <v>88</v>
      </c>
      <c r="Y80" s="46">
        <v>37</v>
      </c>
      <c r="Z80" s="45" t="s">
        <v>59</v>
      </c>
      <c r="AA80" s="3">
        <v>0</v>
      </c>
      <c r="AB80" s="45"/>
      <c r="AC80" s="45"/>
      <c r="AD80" s="45"/>
      <c r="AE80" s="45"/>
    </row>
    <row r="81" spans="1:31">
      <c r="A81" s="2" t="s">
        <v>156</v>
      </c>
      <c r="B81" s="2" t="s">
        <v>54</v>
      </c>
      <c r="C81" s="2" t="s">
        <v>157</v>
      </c>
      <c r="D81" s="2" t="s">
        <v>158</v>
      </c>
      <c r="E81" s="3">
        <v>201</v>
      </c>
      <c r="F81" s="2" t="s">
        <v>159</v>
      </c>
      <c r="G81" s="2" t="s">
        <v>31</v>
      </c>
      <c r="H81" s="2">
        <v>1</v>
      </c>
      <c r="I81" s="2" t="s">
        <v>64</v>
      </c>
      <c r="J81" s="2" t="s">
        <v>65</v>
      </c>
      <c r="K81" s="2"/>
      <c r="L81" s="2" t="s">
        <v>34</v>
      </c>
      <c r="M81" s="2" t="s">
        <v>35</v>
      </c>
      <c r="N81" s="3">
        <v>914</v>
      </c>
      <c r="O81" s="3">
        <v>2134</v>
      </c>
      <c r="P81" s="2" t="s">
        <v>332</v>
      </c>
      <c r="Q81" s="2" t="s">
        <v>37</v>
      </c>
      <c r="R81" s="8" t="s">
        <v>38</v>
      </c>
      <c r="S81" s="2" t="s">
        <v>39</v>
      </c>
      <c r="T81" s="2" t="s">
        <v>41</v>
      </c>
      <c r="U81" s="2" t="s">
        <v>42</v>
      </c>
      <c r="V81" s="2"/>
      <c r="W81" s="45"/>
      <c r="X81" s="45" t="s">
        <v>58</v>
      </c>
      <c r="Y81" s="46">
        <v>24</v>
      </c>
      <c r="Z81" s="45" t="s">
        <v>59</v>
      </c>
      <c r="AA81" s="45"/>
      <c r="AB81" s="45"/>
      <c r="AC81" s="45"/>
      <c r="AD81" s="45"/>
      <c r="AE81" s="45"/>
    </row>
    <row r="82" spans="1:31">
      <c r="A82" s="2" t="s">
        <v>160</v>
      </c>
      <c r="B82" s="2" t="s">
        <v>158</v>
      </c>
      <c r="C82" s="3">
        <v>202</v>
      </c>
      <c r="D82" s="2" t="s">
        <v>54</v>
      </c>
      <c r="E82" s="2" t="s">
        <v>157</v>
      </c>
      <c r="F82" s="2" t="s">
        <v>159</v>
      </c>
      <c r="G82" s="2" t="s">
        <v>31</v>
      </c>
      <c r="H82" s="2">
        <v>1</v>
      </c>
      <c r="I82" s="2" t="s">
        <v>64</v>
      </c>
      <c r="J82" s="2" t="s">
        <v>65</v>
      </c>
      <c r="K82" s="2"/>
      <c r="L82" s="2" t="s">
        <v>34</v>
      </c>
      <c r="M82" s="2" t="s">
        <v>35</v>
      </c>
      <c r="N82" s="3">
        <v>914</v>
      </c>
      <c r="O82" s="3">
        <v>2134</v>
      </c>
      <c r="P82" s="2" t="s">
        <v>332</v>
      </c>
      <c r="Q82" s="2" t="s">
        <v>37</v>
      </c>
      <c r="R82" s="8" t="s">
        <v>38</v>
      </c>
      <c r="S82" s="2" t="s">
        <v>39</v>
      </c>
      <c r="T82" s="2" t="s">
        <v>41</v>
      </c>
      <c r="U82" s="2" t="s">
        <v>42</v>
      </c>
      <c r="V82" s="2"/>
      <c r="W82" s="45"/>
      <c r="X82" s="45" t="s">
        <v>58</v>
      </c>
      <c r="Y82" s="46">
        <v>25</v>
      </c>
      <c r="Z82" s="45" t="s">
        <v>46</v>
      </c>
      <c r="AA82" s="45"/>
      <c r="AB82" s="45"/>
      <c r="AC82" s="45"/>
      <c r="AD82" s="45"/>
      <c r="AE82" s="45"/>
    </row>
    <row r="83" spans="1:31">
      <c r="A83" s="2" t="s">
        <v>161</v>
      </c>
      <c r="B83" s="2" t="s">
        <v>54</v>
      </c>
      <c r="C83" s="2" t="s">
        <v>157</v>
      </c>
      <c r="D83" s="2" t="s">
        <v>158</v>
      </c>
      <c r="E83" s="3">
        <v>203</v>
      </c>
      <c r="F83" s="2" t="s">
        <v>159</v>
      </c>
      <c r="G83" s="2" t="s">
        <v>31</v>
      </c>
      <c r="H83" s="2">
        <v>1</v>
      </c>
      <c r="I83" s="2" t="s">
        <v>64</v>
      </c>
      <c r="J83" s="2" t="s">
        <v>65</v>
      </c>
      <c r="K83" s="2"/>
      <c r="L83" s="2" t="s">
        <v>34</v>
      </c>
      <c r="M83" s="2" t="s">
        <v>35</v>
      </c>
      <c r="N83" s="3">
        <v>914</v>
      </c>
      <c r="O83" s="3">
        <v>2134</v>
      </c>
      <c r="P83" s="2" t="s">
        <v>332</v>
      </c>
      <c r="Q83" s="2" t="s">
        <v>37</v>
      </c>
      <c r="R83" s="8" t="s">
        <v>38</v>
      </c>
      <c r="S83" s="2" t="s">
        <v>39</v>
      </c>
      <c r="T83" s="2" t="s">
        <v>41</v>
      </c>
      <c r="U83" s="2" t="s">
        <v>42</v>
      </c>
      <c r="V83" s="2"/>
      <c r="W83" s="45"/>
      <c r="X83" s="45" t="s">
        <v>58</v>
      </c>
      <c r="Y83" s="46">
        <v>25</v>
      </c>
      <c r="Z83" s="45" t="s">
        <v>46</v>
      </c>
      <c r="AA83" s="45"/>
      <c r="AB83" s="45"/>
      <c r="AC83" s="45"/>
      <c r="AD83" s="45"/>
      <c r="AE83" s="45"/>
    </row>
    <row r="84" spans="1:31">
      <c r="A84" s="2" t="s">
        <v>162</v>
      </c>
      <c r="B84" s="2" t="s">
        <v>54</v>
      </c>
      <c r="C84" s="2" t="s">
        <v>157</v>
      </c>
      <c r="D84" s="2" t="s">
        <v>114</v>
      </c>
      <c r="E84" s="3">
        <v>204</v>
      </c>
      <c r="F84" s="2" t="s">
        <v>159</v>
      </c>
      <c r="G84" s="2" t="s">
        <v>31</v>
      </c>
      <c r="H84" s="2">
        <v>1</v>
      </c>
      <c r="I84" s="2" t="s">
        <v>32</v>
      </c>
      <c r="J84" s="2" t="s">
        <v>33</v>
      </c>
      <c r="K84" s="2"/>
      <c r="L84" s="2" t="s">
        <v>34</v>
      </c>
      <c r="M84" s="2" t="s">
        <v>35</v>
      </c>
      <c r="N84" s="3">
        <v>914</v>
      </c>
      <c r="O84" s="3">
        <v>2134</v>
      </c>
      <c r="P84" s="2" t="s">
        <v>332</v>
      </c>
      <c r="Q84" s="2" t="s">
        <v>72</v>
      </c>
      <c r="R84" s="8" t="s">
        <v>38</v>
      </c>
      <c r="S84" s="2" t="s">
        <v>39</v>
      </c>
      <c r="T84" s="2" t="s">
        <v>41</v>
      </c>
      <c r="U84" s="2" t="s">
        <v>42</v>
      </c>
      <c r="V84" s="2" t="s">
        <v>72</v>
      </c>
      <c r="W84" s="45"/>
      <c r="X84" s="45" t="s">
        <v>58</v>
      </c>
      <c r="Y84" s="46">
        <v>24</v>
      </c>
      <c r="Z84" s="45" t="s">
        <v>59</v>
      </c>
      <c r="AA84" s="3">
        <v>0</v>
      </c>
      <c r="AB84" s="45"/>
      <c r="AC84" s="45"/>
      <c r="AD84" s="45"/>
      <c r="AE84" s="45"/>
    </row>
    <row r="85" spans="1:31">
      <c r="A85" s="2" t="s">
        <v>163</v>
      </c>
      <c r="B85" s="2" t="s">
        <v>70</v>
      </c>
      <c r="C85" s="2" t="s">
        <v>164</v>
      </c>
      <c r="D85" s="2" t="s">
        <v>114</v>
      </c>
      <c r="E85" s="3">
        <v>204</v>
      </c>
      <c r="F85" s="2" t="s">
        <v>159</v>
      </c>
      <c r="G85" s="2" t="s">
        <v>31</v>
      </c>
      <c r="H85" s="2">
        <v>1</v>
      </c>
      <c r="I85" s="2" t="s">
        <v>32</v>
      </c>
      <c r="J85" s="2" t="s">
        <v>33</v>
      </c>
      <c r="K85" s="2"/>
      <c r="L85" s="2" t="s">
        <v>34</v>
      </c>
      <c r="M85" s="2" t="s">
        <v>35</v>
      </c>
      <c r="N85" s="3">
        <v>914</v>
      </c>
      <c r="O85" s="3">
        <v>2134</v>
      </c>
      <c r="P85" s="2" t="s">
        <v>332</v>
      </c>
      <c r="Q85" s="2" t="s">
        <v>37</v>
      </c>
      <c r="R85" s="8" t="s">
        <v>38</v>
      </c>
      <c r="S85" s="2" t="s">
        <v>39</v>
      </c>
      <c r="T85" s="2" t="s">
        <v>41</v>
      </c>
      <c r="U85" s="2" t="s">
        <v>42</v>
      </c>
      <c r="V85" s="2"/>
      <c r="W85" s="45"/>
      <c r="X85" s="45" t="s">
        <v>58</v>
      </c>
      <c r="Y85" s="46">
        <v>29</v>
      </c>
      <c r="Z85" s="45" t="s">
        <v>46</v>
      </c>
      <c r="AA85" s="3">
        <v>0</v>
      </c>
      <c r="AB85" s="45"/>
      <c r="AC85" s="45"/>
      <c r="AD85" s="45"/>
      <c r="AE85" s="45"/>
    </row>
    <row r="86" spans="1:31">
      <c r="A86" s="2" t="s">
        <v>165</v>
      </c>
      <c r="B86" s="2" t="s">
        <v>54</v>
      </c>
      <c r="C86" s="2" t="s">
        <v>157</v>
      </c>
      <c r="D86" s="2" t="s">
        <v>158</v>
      </c>
      <c r="E86" s="3">
        <v>205</v>
      </c>
      <c r="F86" s="2" t="s">
        <v>159</v>
      </c>
      <c r="G86" s="2" t="s">
        <v>31</v>
      </c>
      <c r="H86" s="2">
        <v>1</v>
      </c>
      <c r="I86" s="2" t="s">
        <v>64</v>
      </c>
      <c r="J86" s="2" t="s">
        <v>65</v>
      </c>
      <c r="K86" s="2"/>
      <c r="L86" s="2" t="s">
        <v>34</v>
      </c>
      <c r="M86" s="2" t="s">
        <v>35</v>
      </c>
      <c r="N86" s="3">
        <v>914</v>
      </c>
      <c r="O86" s="3">
        <v>2134</v>
      </c>
      <c r="P86" s="2" t="s">
        <v>332</v>
      </c>
      <c r="Q86" s="2" t="s">
        <v>37</v>
      </c>
      <c r="R86" s="8" t="s">
        <v>38</v>
      </c>
      <c r="S86" s="2" t="s">
        <v>39</v>
      </c>
      <c r="T86" s="2" t="s">
        <v>41</v>
      </c>
      <c r="U86" s="2" t="s">
        <v>42</v>
      </c>
      <c r="V86" s="2"/>
      <c r="W86" s="45"/>
      <c r="X86" s="45" t="s">
        <v>58</v>
      </c>
      <c r="Y86" s="46">
        <v>25</v>
      </c>
      <c r="Z86" s="45" t="s">
        <v>46</v>
      </c>
      <c r="AA86" s="45"/>
      <c r="AB86" s="45"/>
      <c r="AC86" s="45"/>
      <c r="AD86" s="45"/>
      <c r="AE86" s="45"/>
    </row>
    <row r="87" spans="1:31">
      <c r="A87" s="2" t="s">
        <v>166</v>
      </c>
      <c r="B87" s="2" t="s">
        <v>158</v>
      </c>
      <c r="C87" s="3">
        <v>206</v>
      </c>
      <c r="D87" s="2" t="s">
        <v>54</v>
      </c>
      <c r="E87" s="2" t="s">
        <v>157</v>
      </c>
      <c r="F87" s="2" t="s">
        <v>159</v>
      </c>
      <c r="G87" s="2" t="s">
        <v>31</v>
      </c>
      <c r="H87" s="2">
        <v>1</v>
      </c>
      <c r="I87" s="2" t="s">
        <v>64</v>
      </c>
      <c r="J87" s="2" t="s">
        <v>65</v>
      </c>
      <c r="K87" s="2"/>
      <c r="L87" s="2" t="s">
        <v>34</v>
      </c>
      <c r="M87" s="2" t="s">
        <v>35</v>
      </c>
      <c r="N87" s="3">
        <v>914</v>
      </c>
      <c r="O87" s="3">
        <v>2134</v>
      </c>
      <c r="P87" s="2" t="s">
        <v>332</v>
      </c>
      <c r="Q87" s="2" t="s">
        <v>37</v>
      </c>
      <c r="R87" s="8" t="s">
        <v>38</v>
      </c>
      <c r="S87" s="2" t="s">
        <v>39</v>
      </c>
      <c r="T87" s="2" t="s">
        <v>41</v>
      </c>
      <c r="U87" s="2" t="s">
        <v>42</v>
      </c>
      <c r="V87" s="2"/>
      <c r="W87" s="45"/>
      <c r="X87" s="45" t="s">
        <v>58</v>
      </c>
      <c r="Y87" s="46">
        <v>25</v>
      </c>
      <c r="Z87" s="45" t="s">
        <v>46</v>
      </c>
      <c r="AA87" s="45"/>
      <c r="AB87" s="45"/>
      <c r="AC87" s="45"/>
      <c r="AD87" s="45"/>
      <c r="AE87" s="45"/>
    </row>
    <row r="88" spans="1:31">
      <c r="A88" s="2" t="s">
        <v>167</v>
      </c>
      <c r="B88" s="2" t="s">
        <v>54</v>
      </c>
      <c r="C88" s="2" t="s">
        <v>157</v>
      </c>
      <c r="D88" s="2" t="s">
        <v>158</v>
      </c>
      <c r="E88" s="3">
        <v>207</v>
      </c>
      <c r="F88" s="2" t="s">
        <v>159</v>
      </c>
      <c r="G88" s="2" t="s">
        <v>31</v>
      </c>
      <c r="H88" s="2">
        <v>1</v>
      </c>
      <c r="I88" s="2" t="s">
        <v>64</v>
      </c>
      <c r="J88" s="2" t="s">
        <v>65</v>
      </c>
      <c r="K88" s="2"/>
      <c r="L88" s="2" t="s">
        <v>34</v>
      </c>
      <c r="M88" s="2" t="s">
        <v>35</v>
      </c>
      <c r="N88" s="3">
        <v>914</v>
      </c>
      <c r="O88" s="3">
        <v>2134</v>
      </c>
      <c r="P88" s="2" t="s">
        <v>332</v>
      </c>
      <c r="Q88" s="2" t="s">
        <v>37</v>
      </c>
      <c r="R88" s="8" t="s">
        <v>38</v>
      </c>
      <c r="S88" s="2" t="s">
        <v>39</v>
      </c>
      <c r="T88" s="2" t="s">
        <v>41</v>
      </c>
      <c r="U88" s="2" t="s">
        <v>42</v>
      </c>
      <c r="V88" s="2"/>
      <c r="W88" s="45"/>
      <c r="X88" s="45" t="s">
        <v>58</v>
      </c>
      <c r="Y88" s="46">
        <v>25</v>
      </c>
      <c r="Z88" s="45" t="s">
        <v>46</v>
      </c>
      <c r="AA88" s="45"/>
      <c r="AB88" s="45"/>
      <c r="AC88" s="45"/>
      <c r="AD88" s="45"/>
      <c r="AE88" s="45"/>
    </row>
    <row r="89" spans="1:31">
      <c r="A89" s="2" t="s">
        <v>168</v>
      </c>
      <c r="B89" s="2" t="s">
        <v>54</v>
      </c>
      <c r="C89" s="2" t="s">
        <v>157</v>
      </c>
      <c r="D89" s="2" t="s">
        <v>158</v>
      </c>
      <c r="E89" s="3">
        <v>208</v>
      </c>
      <c r="F89" s="2" t="s">
        <v>159</v>
      </c>
      <c r="G89" s="2" t="s">
        <v>31</v>
      </c>
      <c r="H89" s="2">
        <v>1</v>
      </c>
      <c r="I89" s="2" t="s">
        <v>64</v>
      </c>
      <c r="J89" s="2" t="s">
        <v>65</v>
      </c>
      <c r="K89" s="2"/>
      <c r="L89" s="2" t="s">
        <v>34</v>
      </c>
      <c r="M89" s="2" t="s">
        <v>35</v>
      </c>
      <c r="N89" s="3">
        <v>914</v>
      </c>
      <c r="O89" s="3">
        <v>2134</v>
      </c>
      <c r="P89" s="2" t="s">
        <v>332</v>
      </c>
      <c r="Q89" s="2" t="s">
        <v>37</v>
      </c>
      <c r="R89" s="8" t="s">
        <v>38</v>
      </c>
      <c r="S89" s="2" t="s">
        <v>39</v>
      </c>
      <c r="T89" s="2" t="s">
        <v>41</v>
      </c>
      <c r="U89" s="2" t="s">
        <v>42</v>
      </c>
      <c r="V89" s="2"/>
      <c r="W89" s="45"/>
      <c r="X89" s="45" t="s">
        <v>58</v>
      </c>
      <c r="Y89" s="46">
        <v>25</v>
      </c>
      <c r="Z89" s="45" t="s">
        <v>46</v>
      </c>
      <c r="AA89" s="45"/>
      <c r="AB89" s="45"/>
      <c r="AC89" s="45"/>
      <c r="AD89" s="45"/>
      <c r="AE89" s="45"/>
    </row>
    <row r="90" spans="1:31">
      <c r="A90" s="2" t="s">
        <v>169</v>
      </c>
      <c r="B90" s="2" t="s">
        <v>158</v>
      </c>
      <c r="C90" s="3">
        <v>209</v>
      </c>
      <c r="D90" s="2" t="s">
        <v>54</v>
      </c>
      <c r="E90" s="2" t="s">
        <v>157</v>
      </c>
      <c r="F90" s="2" t="s">
        <v>159</v>
      </c>
      <c r="G90" s="2" t="s">
        <v>31</v>
      </c>
      <c r="H90" s="2">
        <v>1</v>
      </c>
      <c r="I90" s="2" t="s">
        <v>64</v>
      </c>
      <c r="J90" s="2" t="s">
        <v>65</v>
      </c>
      <c r="K90" s="2"/>
      <c r="L90" s="2" t="s">
        <v>34</v>
      </c>
      <c r="M90" s="2" t="s">
        <v>35</v>
      </c>
      <c r="N90" s="3">
        <v>914</v>
      </c>
      <c r="O90" s="3">
        <v>2134</v>
      </c>
      <c r="P90" s="2" t="s">
        <v>332</v>
      </c>
      <c r="Q90" s="2" t="s">
        <v>37</v>
      </c>
      <c r="R90" s="8" t="s">
        <v>38</v>
      </c>
      <c r="S90" s="2" t="s">
        <v>39</v>
      </c>
      <c r="T90" s="2" t="s">
        <v>41</v>
      </c>
      <c r="U90" s="2" t="s">
        <v>42</v>
      </c>
      <c r="V90" s="2"/>
      <c r="W90" s="45"/>
      <c r="X90" s="45" t="s">
        <v>58</v>
      </c>
      <c r="Y90" s="46">
        <v>25</v>
      </c>
      <c r="Z90" s="45" t="s">
        <v>46</v>
      </c>
      <c r="AA90" s="45"/>
      <c r="AB90" s="45"/>
      <c r="AC90" s="45"/>
      <c r="AD90" s="45"/>
      <c r="AE90" s="45"/>
    </row>
    <row r="91" spans="1:31">
      <c r="A91" s="2" t="s">
        <v>170</v>
      </c>
      <c r="B91" s="2" t="s">
        <v>158</v>
      </c>
      <c r="C91" s="3">
        <v>210</v>
      </c>
      <c r="D91" s="2" t="s">
        <v>54</v>
      </c>
      <c r="E91" s="2" t="s">
        <v>157</v>
      </c>
      <c r="F91" s="2" t="s">
        <v>159</v>
      </c>
      <c r="G91" s="2" t="s">
        <v>31</v>
      </c>
      <c r="H91" s="2">
        <v>1</v>
      </c>
      <c r="I91" s="2" t="s">
        <v>64</v>
      </c>
      <c r="J91" s="2" t="s">
        <v>65</v>
      </c>
      <c r="K91" s="2"/>
      <c r="L91" s="2" t="s">
        <v>34</v>
      </c>
      <c r="M91" s="2" t="s">
        <v>35</v>
      </c>
      <c r="N91" s="3">
        <v>914</v>
      </c>
      <c r="O91" s="3">
        <v>2134</v>
      </c>
      <c r="P91" s="2" t="s">
        <v>332</v>
      </c>
      <c r="Q91" s="2" t="s">
        <v>37</v>
      </c>
      <c r="R91" s="8" t="s">
        <v>38</v>
      </c>
      <c r="S91" s="2" t="s">
        <v>39</v>
      </c>
      <c r="T91" s="2" t="s">
        <v>41</v>
      </c>
      <c r="U91" s="2" t="s">
        <v>42</v>
      </c>
      <c r="V91" s="2"/>
      <c r="W91" s="45"/>
      <c r="X91" s="45" t="s">
        <v>58</v>
      </c>
      <c r="Y91" s="46">
        <v>25</v>
      </c>
      <c r="Z91" s="45" t="s">
        <v>46</v>
      </c>
      <c r="AA91" s="45"/>
      <c r="AB91" s="45"/>
      <c r="AC91" s="45"/>
      <c r="AD91" s="45"/>
      <c r="AE91" s="45"/>
    </row>
    <row r="92" spans="1:31">
      <c r="A92" s="2" t="s">
        <v>171</v>
      </c>
      <c r="B92" s="2" t="s">
        <v>54</v>
      </c>
      <c r="C92" s="2" t="s">
        <v>157</v>
      </c>
      <c r="D92" s="2" t="s">
        <v>172</v>
      </c>
      <c r="E92" s="3">
        <v>211</v>
      </c>
      <c r="F92" s="2" t="s">
        <v>159</v>
      </c>
      <c r="G92" s="2" t="s">
        <v>31</v>
      </c>
      <c r="H92" s="2">
        <v>1</v>
      </c>
      <c r="I92" s="2" t="s">
        <v>32</v>
      </c>
      <c r="J92" s="2" t="s">
        <v>33</v>
      </c>
      <c r="K92" s="2"/>
      <c r="L92" s="2" t="s">
        <v>34</v>
      </c>
      <c r="M92" s="2" t="s">
        <v>35</v>
      </c>
      <c r="N92" s="3">
        <v>914</v>
      </c>
      <c r="O92" s="3">
        <v>2134</v>
      </c>
      <c r="P92" s="2" t="s">
        <v>332</v>
      </c>
      <c r="Q92" s="2" t="s">
        <v>72</v>
      </c>
      <c r="R92" s="8" t="s">
        <v>38</v>
      </c>
      <c r="S92" s="2" t="s">
        <v>39</v>
      </c>
      <c r="T92" s="2" t="s">
        <v>41</v>
      </c>
      <c r="U92" s="2" t="s">
        <v>42</v>
      </c>
      <c r="V92" s="2" t="s">
        <v>72</v>
      </c>
      <c r="W92" s="45"/>
      <c r="X92" s="45" t="s">
        <v>58</v>
      </c>
      <c r="Y92" s="46">
        <v>24</v>
      </c>
      <c r="Z92" s="45" t="s">
        <v>59</v>
      </c>
      <c r="AA92" s="3">
        <v>0</v>
      </c>
      <c r="AB92" s="45"/>
      <c r="AC92" s="45"/>
      <c r="AD92" s="45"/>
      <c r="AE92" s="45"/>
    </row>
    <row r="93" spans="1:31">
      <c r="A93" s="2" t="s">
        <v>173</v>
      </c>
      <c r="B93" s="2" t="s">
        <v>54</v>
      </c>
      <c r="C93" s="2" t="s">
        <v>174</v>
      </c>
      <c r="D93" s="2" t="s">
        <v>87</v>
      </c>
      <c r="E93" s="3">
        <v>212</v>
      </c>
      <c r="F93" s="2" t="s">
        <v>159</v>
      </c>
      <c r="G93" s="2" t="s">
        <v>31</v>
      </c>
      <c r="H93" s="2">
        <v>1</v>
      </c>
      <c r="I93" s="2" t="s">
        <v>56</v>
      </c>
      <c r="J93" s="2" t="s">
        <v>57</v>
      </c>
      <c r="K93" s="2"/>
      <c r="L93" s="2" t="s">
        <v>34</v>
      </c>
      <c r="M93" s="2" t="s">
        <v>35</v>
      </c>
      <c r="N93" s="3">
        <v>914</v>
      </c>
      <c r="O93" s="3">
        <v>2134</v>
      </c>
      <c r="P93" s="2" t="s">
        <v>332</v>
      </c>
      <c r="Q93" s="2" t="s">
        <v>82</v>
      </c>
      <c r="R93" s="8" t="s">
        <v>38</v>
      </c>
      <c r="S93" s="2" t="s">
        <v>39</v>
      </c>
      <c r="T93" s="2" t="s">
        <v>41</v>
      </c>
      <c r="U93" s="2" t="s">
        <v>42</v>
      </c>
      <c r="V93" s="2"/>
      <c r="W93" s="45"/>
      <c r="X93" s="45" t="s">
        <v>88</v>
      </c>
      <c r="Y93" s="46">
        <v>14</v>
      </c>
      <c r="Z93" s="45" t="s">
        <v>89</v>
      </c>
      <c r="AA93" s="3">
        <v>0</v>
      </c>
      <c r="AB93" s="3">
        <v>0</v>
      </c>
      <c r="AC93" s="45"/>
      <c r="AD93" s="45"/>
      <c r="AE93" s="45"/>
    </row>
    <row r="94" spans="1:31">
      <c r="A94" s="2" t="s">
        <v>175</v>
      </c>
      <c r="B94" s="2" t="s">
        <v>85</v>
      </c>
      <c r="C94" s="3">
        <v>213</v>
      </c>
      <c r="D94" s="2" t="s">
        <v>54</v>
      </c>
      <c r="E94" s="2" t="s">
        <v>174</v>
      </c>
      <c r="F94" s="2" t="s">
        <v>159</v>
      </c>
      <c r="G94" s="2" t="s">
        <v>31</v>
      </c>
      <c r="H94" s="2">
        <v>1</v>
      </c>
      <c r="I94" s="2" t="s">
        <v>56</v>
      </c>
      <c r="J94" s="2" t="s">
        <v>57</v>
      </c>
      <c r="K94" s="2"/>
      <c r="L94" s="8" t="s">
        <v>81</v>
      </c>
      <c r="M94" s="2" t="s">
        <v>35</v>
      </c>
      <c r="N94" s="3">
        <v>813</v>
      </c>
      <c r="O94" s="3">
        <v>2134</v>
      </c>
      <c r="P94" s="2" t="s">
        <v>332</v>
      </c>
      <c r="Q94" s="2" t="s">
        <v>82</v>
      </c>
      <c r="R94" s="8" t="s">
        <v>38</v>
      </c>
      <c r="S94" s="2" t="s">
        <v>39</v>
      </c>
      <c r="T94" s="2" t="s">
        <v>41</v>
      </c>
      <c r="U94" s="2" t="s">
        <v>42</v>
      </c>
      <c r="V94" s="2"/>
      <c r="W94" s="45"/>
      <c r="X94" s="45" t="s">
        <v>83</v>
      </c>
      <c r="Y94" s="46">
        <v>32</v>
      </c>
      <c r="Z94" s="45" t="s">
        <v>59</v>
      </c>
      <c r="AA94" s="3">
        <v>0</v>
      </c>
      <c r="AB94" s="45"/>
      <c r="AC94" s="45"/>
      <c r="AD94" s="45"/>
      <c r="AE94" s="3">
        <v>0</v>
      </c>
    </row>
    <row r="95" spans="1:31">
      <c r="A95" s="2" t="s">
        <v>176</v>
      </c>
      <c r="B95" s="2" t="s">
        <v>85</v>
      </c>
      <c r="C95" s="3">
        <v>214</v>
      </c>
      <c r="D95" s="2" t="s">
        <v>54</v>
      </c>
      <c r="E95" s="2" t="s">
        <v>174</v>
      </c>
      <c r="F95" s="2" t="s">
        <v>159</v>
      </c>
      <c r="G95" s="2" t="s">
        <v>31</v>
      </c>
      <c r="H95" s="2">
        <v>1</v>
      </c>
      <c r="I95" s="2" t="s">
        <v>56</v>
      </c>
      <c r="J95" s="2" t="s">
        <v>57</v>
      </c>
      <c r="K95" s="2"/>
      <c r="L95" s="8" t="s">
        <v>81</v>
      </c>
      <c r="M95" s="2" t="s">
        <v>35</v>
      </c>
      <c r="N95" s="3">
        <v>813</v>
      </c>
      <c r="O95" s="3">
        <v>2134</v>
      </c>
      <c r="P95" s="2" t="s">
        <v>332</v>
      </c>
      <c r="Q95" s="2" t="s">
        <v>82</v>
      </c>
      <c r="R95" s="8" t="s">
        <v>38</v>
      </c>
      <c r="S95" s="2" t="s">
        <v>39</v>
      </c>
      <c r="T95" s="2" t="s">
        <v>41</v>
      </c>
      <c r="U95" s="2" t="s">
        <v>42</v>
      </c>
      <c r="V95" s="2"/>
      <c r="W95" s="45"/>
      <c r="X95" s="45" t="s">
        <v>83</v>
      </c>
      <c r="Y95" s="46">
        <v>32</v>
      </c>
      <c r="Z95" s="45" t="s">
        <v>59</v>
      </c>
      <c r="AA95" s="3">
        <v>0</v>
      </c>
      <c r="AB95" s="45"/>
      <c r="AC95" s="45"/>
      <c r="AD95" s="45"/>
      <c r="AE95" s="3">
        <v>0</v>
      </c>
    </row>
    <row r="96" spans="1:31">
      <c r="A96" s="2" t="s">
        <v>177</v>
      </c>
      <c r="B96" s="2" t="s">
        <v>80</v>
      </c>
      <c r="C96" s="3">
        <v>215</v>
      </c>
      <c r="D96" s="2" t="s">
        <v>54</v>
      </c>
      <c r="E96" s="2" t="s">
        <v>174</v>
      </c>
      <c r="F96" s="2" t="s">
        <v>159</v>
      </c>
      <c r="G96" s="2" t="s">
        <v>31</v>
      </c>
      <c r="H96" s="2">
        <v>1</v>
      </c>
      <c r="I96" s="2" t="s">
        <v>56</v>
      </c>
      <c r="J96" s="2" t="s">
        <v>57</v>
      </c>
      <c r="K96" s="2"/>
      <c r="L96" s="8" t="s">
        <v>81</v>
      </c>
      <c r="M96" s="2" t="s">
        <v>35</v>
      </c>
      <c r="N96" s="3">
        <v>813</v>
      </c>
      <c r="O96" s="3">
        <v>2134</v>
      </c>
      <c r="P96" s="2" t="s">
        <v>332</v>
      </c>
      <c r="Q96" s="2" t="s">
        <v>82</v>
      </c>
      <c r="R96" s="8" t="s">
        <v>38</v>
      </c>
      <c r="S96" s="2" t="s">
        <v>39</v>
      </c>
      <c r="T96" s="2" t="s">
        <v>41</v>
      </c>
      <c r="U96" s="2" t="s">
        <v>42</v>
      </c>
      <c r="V96" s="2"/>
      <c r="W96" s="45"/>
      <c r="X96" s="45" t="s">
        <v>83</v>
      </c>
      <c r="Y96" s="46">
        <v>32</v>
      </c>
      <c r="Z96" s="45" t="s">
        <v>59</v>
      </c>
      <c r="AA96" s="3">
        <v>0</v>
      </c>
      <c r="AB96" s="45"/>
      <c r="AC96" s="45"/>
      <c r="AD96" s="45"/>
      <c r="AE96" s="3">
        <v>0</v>
      </c>
    </row>
    <row r="97" spans="1:31">
      <c r="A97" s="2" t="s">
        <v>178</v>
      </c>
      <c r="B97" s="2" t="s">
        <v>179</v>
      </c>
      <c r="C97" s="3">
        <v>216</v>
      </c>
      <c r="D97" s="2" t="s">
        <v>54</v>
      </c>
      <c r="E97" s="2" t="s">
        <v>157</v>
      </c>
      <c r="F97" s="2" t="s">
        <v>159</v>
      </c>
      <c r="G97" s="2" t="s">
        <v>31</v>
      </c>
      <c r="H97" s="2">
        <v>1</v>
      </c>
      <c r="I97" s="2" t="s">
        <v>32</v>
      </c>
      <c r="J97" s="2" t="s">
        <v>33</v>
      </c>
      <c r="K97" s="2"/>
      <c r="L97" s="2" t="s">
        <v>34</v>
      </c>
      <c r="M97" s="2" t="s">
        <v>35</v>
      </c>
      <c r="N97" s="3">
        <v>914</v>
      </c>
      <c r="O97" s="3">
        <v>2134</v>
      </c>
      <c r="P97" s="2" t="s">
        <v>332</v>
      </c>
      <c r="Q97" s="2" t="s">
        <v>37</v>
      </c>
      <c r="R97" s="8" t="s">
        <v>38</v>
      </c>
      <c r="S97" s="2" t="s">
        <v>39</v>
      </c>
      <c r="T97" s="2" t="s">
        <v>41</v>
      </c>
      <c r="U97" s="2" t="s">
        <v>42</v>
      </c>
      <c r="V97" s="2"/>
      <c r="W97" s="45"/>
      <c r="X97" s="45" t="s">
        <v>88</v>
      </c>
      <c r="Y97" s="46">
        <v>44</v>
      </c>
      <c r="Z97" s="45" t="s">
        <v>180</v>
      </c>
      <c r="AA97" s="3">
        <v>0</v>
      </c>
      <c r="AB97" s="3">
        <v>0</v>
      </c>
      <c r="AC97" s="45"/>
      <c r="AD97" s="45"/>
      <c r="AE97" s="45"/>
    </row>
    <row r="98" spans="1:31">
      <c r="A98" s="2" t="s">
        <v>295</v>
      </c>
      <c r="B98" s="2" t="s">
        <v>179</v>
      </c>
      <c r="C98" s="3">
        <v>216</v>
      </c>
      <c r="D98" s="2" t="s">
        <v>284</v>
      </c>
      <c r="E98" s="2" t="s">
        <v>296</v>
      </c>
      <c r="F98" s="2" t="s">
        <v>159</v>
      </c>
      <c r="G98" s="2" t="s">
        <v>31</v>
      </c>
      <c r="H98" s="2">
        <v>1</v>
      </c>
      <c r="I98" s="2" t="s">
        <v>32</v>
      </c>
      <c r="J98" s="2" t="s">
        <v>33</v>
      </c>
      <c r="K98" s="2"/>
      <c r="L98" s="2" t="s">
        <v>34</v>
      </c>
      <c r="M98" s="2" t="s">
        <v>35</v>
      </c>
      <c r="N98" s="3">
        <v>914</v>
      </c>
      <c r="O98" s="3">
        <v>2134</v>
      </c>
      <c r="P98" s="2" t="s">
        <v>332</v>
      </c>
      <c r="Q98" s="2" t="s">
        <v>285</v>
      </c>
      <c r="R98" s="2" t="s">
        <v>41</v>
      </c>
      <c r="S98" s="2" t="s">
        <v>42</v>
      </c>
      <c r="T98" s="2" t="s">
        <v>41</v>
      </c>
      <c r="U98" s="2" t="s">
        <v>42</v>
      </c>
      <c r="V98" s="2"/>
      <c r="W98" s="8" t="s">
        <v>213</v>
      </c>
      <c r="X98" s="45" t="s">
        <v>88</v>
      </c>
      <c r="Y98" s="46">
        <v>43</v>
      </c>
      <c r="Z98" s="2" t="s">
        <v>297</v>
      </c>
      <c r="AA98" s="3">
        <v>0</v>
      </c>
      <c r="AB98" s="45"/>
      <c r="AC98" s="45"/>
      <c r="AD98" s="45"/>
      <c r="AE98" s="45"/>
    </row>
    <row r="99" spans="1:31">
      <c r="A99" s="2" t="s">
        <v>181</v>
      </c>
      <c r="B99" s="2" t="s">
        <v>54</v>
      </c>
      <c r="C99" s="2" t="s">
        <v>157</v>
      </c>
      <c r="D99" s="2" t="s">
        <v>139</v>
      </c>
      <c r="E99" s="3">
        <v>217</v>
      </c>
      <c r="F99" s="2" t="s">
        <v>159</v>
      </c>
      <c r="G99" s="2" t="s">
        <v>31</v>
      </c>
      <c r="H99" s="2">
        <v>1</v>
      </c>
      <c r="I99" s="2" t="s">
        <v>32</v>
      </c>
      <c r="J99" s="2" t="s">
        <v>33</v>
      </c>
      <c r="K99" s="2"/>
      <c r="L99" s="2" t="s">
        <v>34</v>
      </c>
      <c r="M99" s="2" t="s">
        <v>35</v>
      </c>
      <c r="N99" s="3">
        <v>914</v>
      </c>
      <c r="O99" s="3">
        <v>2134</v>
      </c>
      <c r="P99" s="2" t="s">
        <v>332</v>
      </c>
      <c r="Q99" s="2" t="s">
        <v>82</v>
      </c>
      <c r="R99" s="8" t="s">
        <v>38</v>
      </c>
      <c r="S99" s="2" t="s">
        <v>39</v>
      </c>
      <c r="T99" s="2" t="s">
        <v>41</v>
      </c>
      <c r="U99" s="2" t="s">
        <v>42</v>
      </c>
      <c r="V99" s="2"/>
      <c r="W99" s="2" t="s">
        <v>140</v>
      </c>
      <c r="X99" s="45" t="s">
        <v>88</v>
      </c>
      <c r="Y99" s="46">
        <v>38</v>
      </c>
      <c r="Z99" s="2" t="s">
        <v>59</v>
      </c>
      <c r="AA99" s="3">
        <v>0</v>
      </c>
      <c r="AB99" s="45"/>
      <c r="AC99" s="45"/>
      <c r="AD99" s="45"/>
      <c r="AE99" s="45"/>
    </row>
    <row r="100" spans="1:31">
      <c r="A100" s="2" t="s">
        <v>182</v>
      </c>
      <c r="B100" s="2" t="s">
        <v>158</v>
      </c>
      <c r="C100" s="3">
        <v>218</v>
      </c>
      <c r="D100" s="2" t="s">
        <v>54</v>
      </c>
      <c r="E100" s="2" t="s">
        <v>157</v>
      </c>
      <c r="F100" s="2" t="s">
        <v>159</v>
      </c>
      <c r="G100" s="2" t="s">
        <v>31</v>
      </c>
      <c r="H100" s="2">
        <v>1</v>
      </c>
      <c r="I100" s="2" t="s">
        <v>64</v>
      </c>
      <c r="J100" s="2" t="s">
        <v>65</v>
      </c>
      <c r="K100" s="2"/>
      <c r="L100" s="2" t="s">
        <v>34</v>
      </c>
      <c r="M100" s="2" t="s">
        <v>35</v>
      </c>
      <c r="N100" s="3">
        <v>914</v>
      </c>
      <c r="O100" s="3">
        <v>2134</v>
      </c>
      <c r="P100" s="2" t="s">
        <v>332</v>
      </c>
      <c r="Q100" s="2" t="s">
        <v>37</v>
      </c>
      <c r="R100" s="8" t="s">
        <v>38</v>
      </c>
      <c r="S100" s="2" t="s">
        <v>39</v>
      </c>
      <c r="T100" s="2" t="s">
        <v>41</v>
      </c>
      <c r="U100" s="2" t="s">
        <v>42</v>
      </c>
      <c r="V100" s="2"/>
      <c r="W100" s="45"/>
      <c r="X100" s="45" t="s">
        <v>58</v>
      </c>
      <c r="Y100" s="46">
        <v>25</v>
      </c>
      <c r="Z100" s="45" t="s">
        <v>46</v>
      </c>
      <c r="AA100" s="45"/>
      <c r="AB100" s="45"/>
      <c r="AC100" s="45"/>
      <c r="AD100" s="45"/>
      <c r="AE100" s="45"/>
    </row>
    <row r="101" spans="1:31">
      <c r="A101" s="2" t="s">
        <v>183</v>
      </c>
      <c r="B101" s="2" t="s">
        <v>54</v>
      </c>
      <c r="C101" s="2" t="s">
        <v>157</v>
      </c>
      <c r="D101" s="2" t="s">
        <v>158</v>
      </c>
      <c r="E101" s="3">
        <v>219</v>
      </c>
      <c r="F101" s="2" t="s">
        <v>159</v>
      </c>
      <c r="G101" s="2" t="s">
        <v>31</v>
      </c>
      <c r="H101" s="2">
        <v>1</v>
      </c>
      <c r="I101" s="2" t="s">
        <v>64</v>
      </c>
      <c r="J101" s="2" t="s">
        <v>65</v>
      </c>
      <c r="K101" s="2"/>
      <c r="L101" s="2" t="s">
        <v>34</v>
      </c>
      <c r="M101" s="2" t="s">
        <v>35</v>
      </c>
      <c r="N101" s="3">
        <v>914</v>
      </c>
      <c r="O101" s="3">
        <v>2134</v>
      </c>
      <c r="P101" s="2" t="s">
        <v>332</v>
      </c>
      <c r="Q101" s="2" t="s">
        <v>37</v>
      </c>
      <c r="R101" s="8" t="s">
        <v>38</v>
      </c>
      <c r="S101" s="2" t="s">
        <v>39</v>
      </c>
      <c r="T101" s="2" t="s">
        <v>41</v>
      </c>
      <c r="U101" s="2" t="s">
        <v>42</v>
      </c>
      <c r="V101" s="2"/>
      <c r="W101" s="45"/>
      <c r="X101" s="45" t="s">
        <v>58</v>
      </c>
      <c r="Y101" s="46">
        <v>25</v>
      </c>
      <c r="Z101" s="45" t="s">
        <v>46</v>
      </c>
      <c r="AA101" s="45"/>
      <c r="AB101" s="45"/>
      <c r="AC101" s="45"/>
      <c r="AD101" s="45"/>
      <c r="AE101" s="45"/>
    </row>
    <row r="102" spans="1:31">
      <c r="A102" s="2" t="s">
        <v>184</v>
      </c>
      <c r="B102" s="2" t="s">
        <v>158</v>
      </c>
      <c r="C102" s="3">
        <v>220</v>
      </c>
      <c r="D102" s="2" t="s">
        <v>54</v>
      </c>
      <c r="E102" s="2" t="s">
        <v>157</v>
      </c>
      <c r="F102" s="2" t="s">
        <v>159</v>
      </c>
      <c r="G102" s="2" t="s">
        <v>31</v>
      </c>
      <c r="H102" s="2">
        <v>1</v>
      </c>
      <c r="I102" s="2" t="s">
        <v>64</v>
      </c>
      <c r="J102" s="2" t="s">
        <v>65</v>
      </c>
      <c r="K102" s="2"/>
      <c r="L102" s="2" t="s">
        <v>34</v>
      </c>
      <c r="M102" s="2" t="s">
        <v>35</v>
      </c>
      <c r="N102" s="3">
        <v>914</v>
      </c>
      <c r="O102" s="3">
        <v>2134</v>
      </c>
      <c r="P102" s="2" t="s">
        <v>332</v>
      </c>
      <c r="Q102" s="2" t="s">
        <v>37</v>
      </c>
      <c r="R102" s="8" t="s">
        <v>38</v>
      </c>
      <c r="S102" s="2" t="s">
        <v>39</v>
      </c>
      <c r="T102" s="2" t="s">
        <v>41</v>
      </c>
      <c r="U102" s="2" t="s">
        <v>42</v>
      </c>
      <c r="V102" s="2"/>
      <c r="W102" s="45"/>
      <c r="X102" s="45" t="s">
        <v>58</v>
      </c>
      <c r="Y102" s="46">
        <v>25</v>
      </c>
      <c r="Z102" s="45" t="s">
        <v>46</v>
      </c>
      <c r="AA102" s="45"/>
      <c r="AB102" s="45"/>
      <c r="AC102" s="45"/>
      <c r="AD102" s="45"/>
      <c r="AE102" s="45"/>
    </row>
    <row r="103" spans="1:31">
      <c r="A103" s="2" t="s">
        <v>185</v>
      </c>
      <c r="B103" s="2" t="s">
        <v>54</v>
      </c>
      <c r="C103" s="2" t="s">
        <v>157</v>
      </c>
      <c r="D103" s="2" t="s">
        <v>158</v>
      </c>
      <c r="E103" s="3">
        <v>221</v>
      </c>
      <c r="F103" s="2" t="s">
        <v>159</v>
      </c>
      <c r="G103" s="2" t="s">
        <v>31</v>
      </c>
      <c r="H103" s="2">
        <v>1</v>
      </c>
      <c r="I103" s="2" t="s">
        <v>64</v>
      </c>
      <c r="J103" s="2" t="s">
        <v>65</v>
      </c>
      <c r="K103" s="2"/>
      <c r="L103" s="2" t="s">
        <v>34</v>
      </c>
      <c r="M103" s="2" t="s">
        <v>35</v>
      </c>
      <c r="N103" s="3">
        <v>914</v>
      </c>
      <c r="O103" s="3">
        <v>2134</v>
      </c>
      <c r="P103" s="2" t="s">
        <v>332</v>
      </c>
      <c r="Q103" s="2" t="s">
        <v>37</v>
      </c>
      <c r="R103" s="8" t="s">
        <v>38</v>
      </c>
      <c r="S103" s="2" t="s">
        <v>39</v>
      </c>
      <c r="T103" s="2" t="s">
        <v>41</v>
      </c>
      <c r="U103" s="2" t="s">
        <v>42</v>
      </c>
      <c r="V103" s="2"/>
      <c r="W103" s="45"/>
      <c r="X103" s="45" t="s">
        <v>58</v>
      </c>
      <c r="Y103" s="46">
        <v>25</v>
      </c>
      <c r="Z103" s="45" t="s">
        <v>46</v>
      </c>
      <c r="AA103" s="45"/>
      <c r="AB103" s="45"/>
      <c r="AC103" s="45"/>
      <c r="AD103" s="45"/>
      <c r="AE103" s="45"/>
    </row>
    <row r="104" spans="1:31">
      <c r="A104" s="2" t="s">
        <v>186</v>
      </c>
      <c r="B104" s="2" t="s">
        <v>85</v>
      </c>
      <c r="C104" s="3">
        <v>222</v>
      </c>
      <c r="D104" s="2" t="s">
        <v>54</v>
      </c>
      <c r="E104" s="2" t="s">
        <v>187</v>
      </c>
      <c r="F104" s="2" t="s">
        <v>159</v>
      </c>
      <c r="G104" s="2" t="s">
        <v>31</v>
      </c>
      <c r="H104" s="2">
        <v>1</v>
      </c>
      <c r="I104" s="2" t="s">
        <v>56</v>
      </c>
      <c r="J104" s="2" t="s">
        <v>57</v>
      </c>
      <c r="K104" s="2"/>
      <c r="L104" s="8" t="s">
        <v>81</v>
      </c>
      <c r="M104" s="2" t="s">
        <v>35</v>
      </c>
      <c r="N104" s="3">
        <v>813</v>
      </c>
      <c r="O104" s="3">
        <v>2134</v>
      </c>
      <c r="P104" s="2" t="s">
        <v>332</v>
      </c>
      <c r="Q104" s="2" t="s">
        <v>82</v>
      </c>
      <c r="R104" s="8" t="s">
        <v>38</v>
      </c>
      <c r="S104" s="2" t="s">
        <v>39</v>
      </c>
      <c r="T104" s="2" t="s">
        <v>41</v>
      </c>
      <c r="U104" s="2" t="s">
        <v>42</v>
      </c>
      <c r="V104" s="2"/>
      <c r="W104" s="45"/>
      <c r="X104" s="45" t="s">
        <v>83</v>
      </c>
      <c r="Y104" s="46">
        <v>32</v>
      </c>
      <c r="Z104" s="45" t="s">
        <v>59</v>
      </c>
      <c r="AA104" s="3">
        <v>0</v>
      </c>
      <c r="AB104" s="45"/>
      <c r="AC104" s="45"/>
      <c r="AD104" s="45"/>
      <c r="AE104" s="3">
        <v>0</v>
      </c>
    </row>
    <row r="105" spans="1:31">
      <c r="A105" s="2" t="s">
        <v>188</v>
      </c>
      <c r="B105" s="2" t="s">
        <v>85</v>
      </c>
      <c r="C105" s="3">
        <v>223</v>
      </c>
      <c r="D105" s="2" t="s">
        <v>54</v>
      </c>
      <c r="E105" s="2" t="s">
        <v>187</v>
      </c>
      <c r="F105" s="2" t="s">
        <v>159</v>
      </c>
      <c r="G105" s="2" t="s">
        <v>31</v>
      </c>
      <c r="H105" s="2">
        <v>1</v>
      </c>
      <c r="I105" s="2" t="s">
        <v>56</v>
      </c>
      <c r="J105" s="2" t="s">
        <v>57</v>
      </c>
      <c r="K105" s="2"/>
      <c r="L105" s="8" t="s">
        <v>81</v>
      </c>
      <c r="M105" s="2" t="s">
        <v>35</v>
      </c>
      <c r="N105" s="3">
        <v>813</v>
      </c>
      <c r="O105" s="3">
        <v>2134</v>
      </c>
      <c r="P105" s="2" t="s">
        <v>332</v>
      </c>
      <c r="Q105" s="2" t="s">
        <v>82</v>
      </c>
      <c r="R105" s="8" t="s">
        <v>38</v>
      </c>
      <c r="S105" s="2" t="s">
        <v>39</v>
      </c>
      <c r="T105" s="2" t="s">
        <v>41</v>
      </c>
      <c r="U105" s="2" t="s">
        <v>42</v>
      </c>
      <c r="V105" s="2"/>
      <c r="W105" s="45"/>
      <c r="X105" s="45" t="s">
        <v>83</v>
      </c>
      <c r="Y105" s="46">
        <v>32</v>
      </c>
      <c r="Z105" s="45" t="s">
        <v>59</v>
      </c>
      <c r="AA105" s="3">
        <v>0</v>
      </c>
      <c r="AB105" s="45"/>
      <c r="AC105" s="45"/>
      <c r="AD105" s="45"/>
      <c r="AE105" s="3">
        <v>0</v>
      </c>
    </row>
    <row r="106" spans="1:31">
      <c r="A106" s="2" t="s">
        <v>189</v>
      </c>
      <c r="B106" s="2" t="s">
        <v>85</v>
      </c>
      <c r="C106" s="3">
        <v>224</v>
      </c>
      <c r="D106" s="2" t="s">
        <v>54</v>
      </c>
      <c r="E106" s="2" t="s">
        <v>187</v>
      </c>
      <c r="F106" s="2" t="s">
        <v>159</v>
      </c>
      <c r="G106" s="2" t="s">
        <v>31</v>
      </c>
      <c r="H106" s="2">
        <v>1</v>
      </c>
      <c r="I106" s="2" t="s">
        <v>56</v>
      </c>
      <c r="J106" s="2" t="s">
        <v>57</v>
      </c>
      <c r="K106" s="2"/>
      <c r="L106" s="8" t="s">
        <v>81</v>
      </c>
      <c r="M106" s="2" t="s">
        <v>35</v>
      </c>
      <c r="N106" s="3">
        <v>813</v>
      </c>
      <c r="O106" s="3">
        <v>2134</v>
      </c>
      <c r="P106" s="2" t="s">
        <v>332</v>
      </c>
      <c r="Q106" s="2" t="s">
        <v>82</v>
      </c>
      <c r="R106" s="8" t="s">
        <v>38</v>
      </c>
      <c r="S106" s="2" t="s">
        <v>39</v>
      </c>
      <c r="T106" s="2" t="s">
        <v>41</v>
      </c>
      <c r="U106" s="2" t="s">
        <v>42</v>
      </c>
      <c r="V106" s="2"/>
      <c r="W106" s="45"/>
      <c r="X106" s="45" t="s">
        <v>83</v>
      </c>
      <c r="Y106" s="46">
        <v>32</v>
      </c>
      <c r="Z106" s="45" t="s">
        <v>59</v>
      </c>
      <c r="AA106" s="3">
        <v>0</v>
      </c>
      <c r="AB106" s="45"/>
      <c r="AC106" s="45"/>
      <c r="AD106" s="45"/>
      <c r="AE106" s="3">
        <v>0</v>
      </c>
    </row>
    <row r="107" spans="1:31">
      <c r="A107" s="2" t="s">
        <v>190</v>
      </c>
      <c r="B107" s="2" t="s">
        <v>87</v>
      </c>
      <c r="C107" s="3">
        <v>225</v>
      </c>
      <c r="D107" s="2" t="s">
        <v>54</v>
      </c>
      <c r="E107" s="2" t="s">
        <v>187</v>
      </c>
      <c r="F107" s="2" t="s">
        <v>159</v>
      </c>
      <c r="G107" s="2" t="s">
        <v>31</v>
      </c>
      <c r="H107" s="2">
        <v>1</v>
      </c>
      <c r="I107" s="2" t="s">
        <v>56</v>
      </c>
      <c r="J107" s="2" t="s">
        <v>57</v>
      </c>
      <c r="K107" s="2"/>
      <c r="L107" s="2" t="s">
        <v>34</v>
      </c>
      <c r="M107" s="2" t="s">
        <v>35</v>
      </c>
      <c r="N107" s="3">
        <v>914</v>
      </c>
      <c r="O107" s="3">
        <v>2134</v>
      </c>
      <c r="P107" s="2" t="s">
        <v>332</v>
      </c>
      <c r="Q107" s="2" t="s">
        <v>82</v>
      </c>
      <c r="R107" s="8" t="s">
        <v>38</v>
      </c>
      <c r="S107" s="2" t="s">
        <v>39</v>
      </c>
      <c r="T107" s="2" t="s">
        <v>41</v>
      </c>
      <c r="U107" s="2" t="s">
        <v>42</v>
      </c>
      <c r="V107" s="2"/>
      <c r="W107" s="45"/>
      <c r="X107" s="45" t="s">
        <v>88</v>
      </c>
      <c r="Y107" s="46">
        <v>14</v>
      </c>
      <c r="Z107" s="45" t="s">
        <v>89</v>
      </c>
      <c r="AA107" s="3">
        <v>0</v>
      </c>
      <c r="AB107" s="3">
        <v>0</v>
      </c>
      <c r="AC107" s="45"/>
      <c r="AD107" s="45"/>
      <c r="AE107" s="45"/>
    </row>
    <row r="108" spans="1:31">
      <c r="A108" s="2" t="s">
        <v>191</v>
      </c>
      <c r="B108" s="2" t="s">
        <v>172</v>
      </c>
      <c r="C108" s="3">
        <v>226</v>
      </c>
      <c r="D108" s="2" t="s">
        <v>54</v>
      </c>
      <c r="E108" s="2" t="s">
        <v>157</v>
      </c>
      <c r="F108" s="2" t="s">
        <v>159</v>
      </c>
      <c r="G108" s="2" t="s">
        <v>31</v>
      </c>
      <c r="H108" s="2">
        <v>1</v>
      </c>
      <c r="I108" s="2" t="s">
        <v>32</v>
      </c>
      <c r="J108" s="2" t="s">
        <v>33</v>
      </c>
      <c r="K108" s="2"/>
      <c r="L108" s="2" t="s">
        <v>34</v>
      </c>
      <c r="M108" s="2" t="s">
        <v>35</v>
      </c>
      <c r="N108" s="3">
        <v>914</v>
      </c>
      <c r="O108" s="3">
        <v>2134</v>
      </c>
      <c r="P108" s="2" t="s">
        <v>332</v>
      </c>
      <c r="Q108" s="2" t="s">
        <v>72</v>
      </c>
      <c r="R108" s="8" t="s">
        <v>38</v>
      </c>
      <c r="S108" s="2" t="s">
        <v>39</v>
      </c>
      <c r="T108" s="2" t="s">
        <v>41</v>
      </c>
      <c r="U108" s="2" t="s">
        <v>42</v>
      </c>
      <c r="V108" s="2" t="s">
        <v>72</v>
      </c>
      <c r="W108" s="45"/>
      <c r="X108" s="45" t="s">
        <v>58</v>
      </c>
      <c r="Y108" s="46">
        <v>24</v>
      </c>
      <c r="Z108" s="45" t="s">
        <v>59</v>
      </c>
      <c r="AA108" s="3">
        <v>0</v>
      </c>
      <c r="AB108" s="45"/>
      <c r="AC108" s="45"/>
      <c r="AD108" s="45"/>
      <c r="AE108" s="45"/>
    </row>
    <row r="109" spans="1:31">
      <c r="A109" s="2" t="s">
        <v>298</v>
      </c>
      <c r="B109" s="2" t="s">
        <v>299</v>
      </c>
      <c r="C109" s="3">
        <v>227</v>
      </c>
      <c r="D109" s="45"/>
      <c r="E109" s="45"/>
      <c r="F109" s="2" t="s">
        <v>159</v>
      </c>
      <c r="G109" s="2" t="s">
        <v>234</v>
      </c>
      <c r="H109" s="2">
        <v>1</v>
      </c>
      <c r="I109" s="2" t="s">
        <v>262</v>
      </c>
      <c r="J109" s="2" t="s">
        <v>236</v>
      </c>
      <c r="K109" s="2"/>
      <c r="L109" s="2" t="s">
        <v>66</v>
      </c>
      <c r="M109" s="2" t="s">
        <v>35</v>
      </c>
      <c r="N109" s="3">
        <v>1828</v>
      </c>
      <c r="O109" s="3">
        <v>2134</v>
      </c>
      <c r="P109" s="2" t="s">
        <v>332</v>
      </c>
      <c r="Q109" s="2" t="s">
        <v>267</v>
      </c>
      <c r="R109" s="2" t="s">
        <v>41</v>
      </c>
      <c r="S109" s="2" t="s">
        <v>42</v>
      </c>
      <c r="T109" s="2" t="s">
        <v>41</v>
      </c>
      <c r="U109" s="2" t="s">
        <v>42</v>
      </c>
      <c r="V109" s="2"/>
      <c r="W109" s="8" t="s">
        <v>213</v>
      </c>
      <c r="X109" s="45" t="s">
        <v>88</v>
      </c>
      <c r="Y109" s="46">
        <v>6</v>
      </c>
      <c r="Z109" s="2" t="s">
        <v>269</v>
      </c>
      <c r="AA109" s="3">
        <v>0</v>
      </c>
      <c r="AB109" s="45"/>
      <c r="AC109" s="45"/>
      <c r="AD109" s="3">
        <v>0</v>
      </c>
      <c r="AE109" s="45"/>
    </row>
    <row r="110" spans="1:31">
      <c r="A110" s="2" t="s">
        <v>192</v>
      </c>
      <c r="B110" s="2" t="s">
        <v>54</v>
      </c>
      <c r="C110" s="2" t="s">
        <v>193</v>
      </c>
      <c r="D110" s="2" t="s">
        <v>158</v>
      </c>
      <c r="E110" s="3">
        <v>301</v>
      </c>
      <c r="F110" s="2" t="s">
        <v>194</v>
      </c>
      <c r="G110" s="2" t="s">
        <v>31</v>
      </c>
      <c r="H110" s="2">
        <v>1</v>
      </c>
      <c r="I110" s="2" t="s">
        <v>64</v>
      </c>
      <c r="J110" s="2" t="s">
        <v>65</v>
      </c>
      <c r="K110" s="2"/>
      <c r="L110" s="2" t="s">
        <v>34</v>
      </c>
      <c r="M110" s="2" t="s">
        <v>35</v>
      </c>
      <c r="N110" s="3">
        <v>914</v>
      </c>
      <c r="O110" s="3">
        <v>2134</v>
      </c>
      <c r="P110" s="2" t="s">
        <v>332</v>
      </c>
      <c r="Q110" s="2" t="s">
        <v>37</v>
      </c>
      <c r="R110" s="8" t="s">
        <v>38</v>
      </c>
      <c r="S110" s="2" t="s">
        <v>39</v>
      </c>
      <c r="T110" s="2" t="s">
        <v>41</v>
      </c>
      <c r="U110" s="2" t="s">
        <v>42</v>
      </c>
      <c r="V110" s="2"/>
      <c r="W110" s="45"/>
      <c r="X110" s="45" t="s">
        <v>58</v>
      </c>
      <c r="Y110" s="46">
        <v>24</v>
      </c>
      <c r="Z110" s="45" t="s">
        <v>59</v>
      </c>
      <c r="AA110" s="45"/>
      <c r="AB110" s="45"/>
      <c r="AC110" s="45"/>
      <c r="AD110" s="45"/>
      <c r="AE110" s="45"/>
    </row>
    <row r="111" spans="1:31">
      <c r="A111" s="2" t="s">
        <v>195</v>
      </c>
      <c r="B111" s="2" t="s">
        <v>158</v>
      </c>
      <c r="C111" s="3">
        <v>302</v>
      </c>
      <c r="D111" s="2" t="s">
        <v>54</v>
      </c>
      <c r="E111" s="2" t="s">
        <v>193</v>
      </c>
      <c r="F111" s="2" t="s">
        <v>194</v>
      </c>
      <c r="G111" s="2" t="s">
        <v>31</v>
      </c>
      <c r="H111" s="2">
        <v>1</v>
      </c>
      <c r="I111" s="2" t="s">
        <v>64</v>
      </c>
      <c r="J111" s="2" t="s">
        <v>65</v>
      </c>
      <c r="K111" s="2"/>
      <c r="L111" s="2" t="s">
        <v>34</v>
      </c>
      <c r="M111" s="2" t="s">
        <v>35</v>
      </c>
      <c r="N111" s="3">
        <v>914</v>
      </c>
      <c r="O111" s="3">
        <v>2134</v>
      </c>
      <c r="P111" s="2" t="s">
        <v>332</v>
      </c>
      <c r="Q111" s="2" t="s">
        <v>37</v>
      </c>
      <c r="R111" s="8" t="s">
        <v>38</v>
      </c>
      <c r="S111" s="2" t="s">
        <v>39</v>
      </c>
      <c r="T111" s="2" t="s">
        <v>41</v>
      </c>
      <c r="U111" s="2" t="s">
        <v>42</v>
      </c>
      <c r="V111" s="2"/>
      <c r="W111" s="45"/>
      <c r="X111" s="45" t="s">
        <v>58</v>
      </c>
      <c r="Y111" s="46">
        <v>25</v>
      </c>
      <c r="Z111" s="45" t="s">
        <v>46</v>
      </c>
      <c r="AA111" s="45"/>
      <c r="AB111" s="45"/>
      <c r="AC111" s="45"/>
      <c r="AD111" s="45"/>
      <c r="AE111" s="45"/>
    </row>
    <row r="112" spans="1:31">
      <c r="A112" s="2" t="s">
        <v>196</v>
      </c>
      <c r="B112" s="2" t="s">
        <v>54</v>
      </c>
      <c r="C112" s="2" t="s">
        <v>193</v>
      </c>
      <c r="D112" s="2" t="s">
        <v>158</v>
      </c>
      <c r="E112" s="3">
        <v>303</v>
      </c>
      <c r="F112" s="2" t="s">
        <v>194</v>
      </c>
      <c r="G112" s="2" t="s">
        <v>31</v>
      </c>
      <c r="H112" s="2">
        <v>1</v>
      </c>
      <c r="I112" s="2" t="s">
        <v>64</v>
      </c>
      <c r="J112" s="2" t="s">
        <v>65</v>
      </c>
      <c r="K112" s="2"/>
      <c r="L112" s="2" t="s">
        <v>34</v>
      </c>
      <c r="M112" s="2" t="s">
        <v>35</v>
      </c>
      <c r="N112" s="3">
        <v>914</v>
      </c>
      <c r="O112" s="3">
        <v>2134</v>
      </c>
      <c r="P112" s="2" t="s">
        <v>332</v>
      </c>
      <c r="Q112" s="2" t="s">
        <v>37</v>
      </c>
      <c r="R112" s="8" t="s">
        <v>38</v>
      </c>
      <c r="S112" s="2" t="s">
        <v>39</v>
      </c>
      <c r="T112" s="2" t="s">
        <v>41</v>
      </c>
      <c r="U112" s="2" t="s">
        <v>42</v>
      </c>
      <c r="V112" s="2"/>
      <c r="W112" s="45"/>
      <c r="X112" s="45" t="s">
        <v>58</v>
      </c>
      <c r="Y112" s="46">
        <v>25</v>
      </c>
      <c r="Z112" s="45" t="s">
        <v>46</v>
      </c>
      <c r="AA112" s="45"/>
      <c r="AB112" s="45"/>
      <c r="AC112" s="45"/>
      <c r="AD112" s="45"/>
      <c r="AE112" s="45"/>
    </row>
    <row r="113" spans="1:31">
      <c r="A113" s="2" t="s">
        <v>197</v>
      </c>
      <c r="B113" s="2" t="s">
        <v>54</v>
      </c>
      <c r="C113" s="2" t="s">
        <v>193</v>
      </c>
      <c r="D113" s="2" t="s">
        <v>198</v>
      </c>
      <c r="E113" s="3">
        <v>304</v>
      </c>
      <c r="F113" s="2" t="s">
        <v>194</v>
      </c>
      <c r="G113" s="2" t="s">
        <v>31</v>
      </c>
      <c r="H113" s="2">
        <v>1</v>
      </c>
      <c r="I113" s="2" t="s">
        <v>32</v>
      </c>
      <c r="J113" s="2" t="s">
        <v>33</v>
      </c>
      <c r="K113" s="2"/>
      <c r="L113" s="2" t="s">
        <v>34</v>
      </c>
      <c r="M113" s="2" t="s">
        <v>35</v>
      </c>
      <c r="N113" s="3">
        <v>914</v>
      </c>
      <c r="O113" s="3">
        <v>2134</v>
      </c>
      <c r="P113" s="2" t="s">
        <v>332</v>
      </c>
      <c r="Q113" s="2" t="s">
        <v>72</v>
      </c>
      <c r="R113" s="8" t="s">
        <v>38</v>
      </c>
      <c r="S113" s="2" t="s">
        <v>39</v>
      </c>
      <c r="T113" s="2" t="s">
        <v>41</v>
      </c>
      <c r="U113" s="2" t="s">
        <v>42</v>
      </c>
      <c r="V113" s="2" t="s">
        <v>72</v>
      </c>
      <c r="W113" s="45"/>
      <c r="X113" s="45" t="s">
        <v>58</v>
      </c>
      <c r="Y113" s="46">
        <v>24</v>
      </c>
      <c r="Z113" s="45" t="s">
        <v>59</v>
      </c>
      <c r="AA113" s="3">
        <v>0</v>
      </c>
      <c r="AB113" s="45"/>
      <c r="AC113" s="45"/>
      <c r="AD113" s="45"/>
      <c r="AE113" s="45"/>
    </row>
    <row r="114" spans="1:31">
      <c r="A114" s="2" t="s">
        <v>199</v>
      </c>
      <c r="B114" s="2" t="s">
        <v>54</v>
      </c>
      <c r="C114" s="2" t="s">
        <v>193</v>
      </c>
      <c r="D114" s="2" t="s">
        <v>158</v>
      </c>
      <c r="E114" s="3">
        <v>305</v>
      </c>
      <c r="F114" s="2" t="s">
        <v>194</v>
      </c>
      <c r="G114" s="2" t="s">
        <v>31</v>
      </c>
      <c r="H114" s="2">
        <v>1</v>
      </c>
      <c r="I114" s="2" t="s">
        <v>64</v>
      </c>
      <c r="J114" s="2" t="s">
        <v>65</v>
      </c>
      <c r="K114" s="2"/>
      <c r="L114" s="2" t="s">
        <v>34</v>
      </c>
      <c r="M114" s="2" t="s">
        <v>35</v>
      </c>
      <c r="N114" s="3">
        <v>914</v>
      </c>
      <c r="O114" s="3">
        <v>2134</v>
      </c>
      <c r="P114" s="2" t="s">
        <v>332</v>
      </c>
      <c r="Q114" s="2" t="s">
        <v>37</v>
      </c>
      <c r="R114" s="8" t="s">
        <v>38</v>
      </c>
      <c r="S114" s="2" t="s">
        <v>39</v>
      </c>
      <c r="T114" s="2" t="s">
        <v>41</v>
      </c>
      <c r="U114" s="2" t="s">
        <v>42</v>
      </c>
      <c r="V114" s="2"/>
      <c r="W114" s="45"/>
      <c r="X114" s="45" t="s">
        <v>58</v>
      </c>
      <c r="Y114" s="46">
        <v>25</v>
      </c>
      <c r="Z114" s="45" t="s">
        <v>46</v>
      </c>
      <c r="AA114" s="45"/>
      <c r="AB114" s="45"/>
      <c r="AC114" s="45"/>
      <c r="AD114" s="45"/>
      <c r="AE114" s="45"/>
    </row>
    <row r="115" spans="1:31">
      <c r="A115" s="2" t="s">
        <v>200</v>
      </c>
      <c r="B115" s="2" t="s">
        <v>158</v>
      </c>
      <c r="C115" s="3">
        <v>306</v>
      </c>
      <c r="D115" s="2" t="s">
        <v>54</v>
      </c>
      <c r="E115" s="2" t="s">
        <v>193</v>
      </c>
      <c r="F115" s="2" t="s">
        <v>194</v>
      </c>
      <c r="G115" s="2" t="s">
        <v>31</v>
      </c>
      <c r="H115" s="2">
        <v>1</v>
      </c>
      <c r="I115" s="2" t="s">
        <v>64</v>
      </c>
      <c r="J115" s="2" t="s">
        <v>65</v>
      </c>
      <c r="K115" s="2"/>
      <c r="L115" s="2" t="s">
        <v>34</v>
      </c>
      <c r="M115" s="2" t="s">
        <v>35</v>
      </c>
      <c r="N115" s="3">
        <v>914</v>
      </c>
      <c r="O115" s="3">
        <v>2134</v>
      </c>
      <c r="P115" s="2" t="s">
        <v>332</v>
      </c>
      <c r="Q115" s="2" t="s">
        <v>37</v>
      </c>
      <c r="R115" s="8" t="s">
        <v>38</v>
      </c>
      <c r="S115" s="2" t="s">
        <v>39</v>
      </c>
      <c r="T115" s="2" t="s">
        <v>41</v>
      </c>
      <c r="U115" s="2" t="s">
        <v>42</v>
      </c>
      <c r="V115" s="2"/>
      <c r="W115" s="45"/>
      <c r="X115" s="45" t="s">
        <v>58</v>
      </c>
      <c r="Y115" s="46">
        <v>25</v>
      </c>
      <c r="Z115" s="45" t="s">
        <v>46</v>
      </c>
      <c r="AA115" s="45"/>
      <c r="AB115" s="45"/>
      <c r="AC115" s="45"/>
      <c r="AD115" s="45"/>
      <c r="AE115" s="45"/>
    </row>
    <row r="116" spans="1:31">
      <c r="A116" s="2" t="s">
        <v>201</v>
      </c>
      <c r="B116" s="2" t="s">
        <v>54</v>
      </c>
      <c r="C116" s="2" t="s">
        <v>193</v>
      </c>
      <c r="D116" s="2" t="s">
        <v>158</v>
      </c>
      <c r="E116" s="3">
        <v>307</v>
      </c>
      <c r="F116" s="2" t="s">
        <v>194</v>
      </c>
      <c r="G116" s="2" t="s">
        <v>31</v>
      </c>
      <c r="H116" s="2">
        <v>1</v>
      </c>
      <c r="I116" s="2" t="s">
        <v>64</v>
      </c>
      <c r="J116" s="2" t="s">
        <v>65</v>
      </c>
      <c r="K116" s="2"/>
      <c r="L116" s="2" t="s">
        <v>34</v>
      </c>
      <c r="M116" s="2" t="s">
        <v>35</v>
      </c>
      <c r="N116" s="3">
        <v>914</v>
      </c>
      <c r="O116" s="3">
        <v>2134</v>
      </c>
      <c r="P116" s="2" t="s">
        <v>332</v>
      </c>
      <c r="Q116" s="2" t="s">
        <v>37</v>
      </c>
      <c r="R116" s="8" t="s">
        <v>38</v>
      </c>
      <c r="S116" s="2" t="s">
        <v>39</v>
      </c>
      <c r="T116" s="2" t="s">
        <v>41</v>
      </c>
      <c r="U116" s="2" t="s">
        <v>42</v>
      </c>
      <c r="V116" s="2"/>
      <c r="W116" s="45"/>
      <c r="X116" s="45" t="s">
        <v>58</v>
      </c>
      <c r="Y116" s="46">
        <v>25</v>
      </c>
      <c r="Z116" s="45" t="s">
        <v>46</v>
      </c>
      <c r="AA116" s="45"/>
      <c r="AB116" s="45"/>
      <c r="AC116" s="45"/>
      <c r="AD116" s="45"/>
      <c r="AE116" s="45"/>
    </row>
    <row r="117" spans="1:31">
      <c r="A117" s="2" t="s">
        <v>202</v>
      </c>
      <c r="B117" s="2" t="s">
        <v>54</v>
      </c>
      <c r="C117" s="2" t="s">
        <v>193</v>
      </c>
      <c r="D117" s="2" t="s">
        <v>158</v>
      </c>
      <c r="E117" s="3">
        <v>308</v>
      </c>
      <c r="F117" s="2" t="s">
        <v>194</v>
      </c>
      <c r="G117" s="2" t="s">
        <v>31</v>
      </c>
      <c r="H117" s="2">
        <v>1</v>
      </c>
      <c r="I117" s="2" t="s">
        <v>64</v>
      </c>
      <c r="J117" s="2" t="s">
        <v>65</v>
      </c>
      <c r="K117" s="2"/>
      <c r="L117" s="2" t="s">
        <v>34</v>
      </c>
      <c r="M117" s="2" t="s">
        <v>35</v>
      </c>
      <c r="N117" s="3">
        <v>914</v>
      </c>
      <c r="O117" s="3">
        <v>2134</v>
      </c>
      <c r="P117" s="2" t="s">
        <v>332</v>
      </c>
      <c r="Q117" s="2" t="s">
        <v>37</v>
      </c>
      <c r="R117" s="8" t="s">
        <v>38</v>
      </c>
      <c r="S117" s="2" t="s">
        <v>39</v>
      </c>
      <c r="T117" s="2" t="s">
        <v>41</v>
      </c>
      <c r="U117" s="2" t="s">
        <v>42</v>
      </c>
      <c r="V117" s="2"/>
      <c r="W117" s="45"/>
      <c r="X117" s="45" t="s">
        <v>58</v>
      </c>
      <c r="Y117" s="46">
        <v>25</v>
      </c>
      <c r="Z117" s="45" t="s">
        <v>46</v>
      </c>
      <c r="AA117" s="45"/>
      <c r="AB117" s="45"/>
      <c r="AC117" s="45"/>
      <c r="AD117" s="45"/>
      <c r="AE117" s="45"/>
    </row>
    <row r="118" spans="1:31">
      <c r="A118" s="2" t="s">
        <v>203</v>
      </c>
      <c r="B118" s="2" t="s">
        <v>158</v>
      </c>
      <c r="C118" s="3">
        <v>309</v>
      </c>
      <c r="D118" s="2" t="s">
        <v>54</v>
      </c>
      <c r="E118" s="2" t="s">
        <v>193</v>
      </c>
      <c r="F118" s="2" t="s">
        <v>194</v>
      </c>
      <c r="G118" s="2" t="s">
        <v>31</v>
      </c>
      <c r="H118" s="2">
        <v>1</v>
      </c>
      <c r="I118" s="2" t="s">
        <v>64</v>
      </c>
      <c r="J118" s="2" t="s">
        <v>65</v>
      </c>
      <c r="K118" s="2"/>
      <c r="L118" s="2" t="s">
        <v>34</v>
      </c>
      <c r="M118" s="2" t="s">
        <v>35</v>
      </c>
      <c r="N118" s="3">
        <v>914</v>
      </c>
      <c r="O118" s="3">
        <v>2134</v>
      </c>
      <c r="P118" s="2" t="s">
        <v>332</v>
      </c>
      <c r="Q118" s="2" t="s">
        <v>37</v>
      </c>
      <c r="R118" s="8" t="s">
        <v>38</v>
      </c>
      <c r="S118" s="2" t="s">
        <v>39</v>
      </c>
      <c r="T118" s="2" t="s">
        <v>41</v>
      </c>
      <c r="U118" s="2" t="s">
        <v>42</v>
      </c>
      <c r="V118" s="2"/>
      <c r="W118" s="45"/>
      <c r="X118" s="45" t="s">
        <v>58</v>
      </c>
      <c r="Y118" s="46">
        <v>25</v>
      </c>
      <c r="Z118" s="45" t="s">
        <v>46</v>
      </c>
      <c r="AA118" s="45"/>
      <c r="AB118" s="45"/>
      <c r="AC118" s="45"/>
      <c r="AD118" s="45"/>
      <c r="AE118" s="45"/>
    </row>
    <row r="119" spans="1:31">
      <c r="A119" s="2" t="s">
        <v>204</v>
      </c>
      <c r="B119" s="2" t="s">
        <v>158</v>
      </c>
      <c r="C119" s="3">
        <v>310</v>
      </c>
      <c r="D119" s="2" t="s">
        <v>54</v>
      </c>
      <c r="E119" s="2" t="s">
        <v>193</v>
      </c>
      <c r="F119" s="2" t="s">
        <v>194</v>
      </c>
      <c r="G119" s="2" t="s">
        <v>31</v>
      </c>
      <c r="H119" s="2">
        <v>1</v>
      </c>
      <c r="I119" s="2" t="s">
        <v>64</v>
      </c>
      <c r="J119" s="2" t="s">
        <v>65</v>
      </c>
      <c r="K119" s="2"/>
      <c r="L119" s="2" t="s">
        <v>34</v>
      </c>
      <c r="M119" s="2" t="s">
        <v>35</v>
      </c>
      <c r="N119" s="3">
        <v>914</v>
      </c>
      <c r="O119" s="3">
        <v>2134</v>
      </c>
      <c r="P119" s="2" t="s">
        <v>332</v>
      </c>
      <c r="Q119" s="2" t="s">
        <v>37</v>
      </c>
      <c r="R119" s="8" t="s">
        <v>38</v>
      </c>
      <c r="S119" s="2" t="s">
        <v>39</v>
      </c>
      <c r="T119" s="2" t="s">
        <v>41</v>
      </c>
      <c r="U119" s="2" t="s">
        <v>42</v>
      </c>
      <c r="V119" s="2"/>
      <c r="W119" s="45"/>
      <c r="X119" s="45" t="s">
        <v>58</v>
      </c>
      <c r="Y119" s="46">
        <v>25</v>
      </c>
      <c r="Z119" s="45" t="s">
        <v>46</v>
      </c>
      <c r="AA119" s="45"/>
      <c r="AB119" s="45"/>
      <c r="AC119" s="45"/>
      <c r="AD119" s="45"/>
      <c r="AE119" s="45"/>
    </row>
    <row r="120" spans="1:31">
      <c r="A120" s="2" t="s">
        <v>205</v>
      </c>
      <c r="B120" s="2" t="s">
        <v>54</v>
      </c>
      <c r="C120" s="2" t="s">
        <v>193</v>
      </c>
      <c r="D120" s="2" t="s">
        <v>172</v>
      </c>
      <c r="E120" s="3">
        <v>311</v>
      </c>
      <c r="F120" s="2" t="s">
        <v>194</v>
      </c>
      <c r="G120" s="2" t="s">
        <v>31</v>
      </c>
      <c r="H120" s="2">
        <v>1</v>
      </c>
      <c r="I120" s="2" t="s">
        <v>32</v>
      </c>
      <c r="J120" s="2" t="s">
        <v>33</v>
      </c>
      <c r="K120" s="2"/>
      <c r="L120" s="2" t="s">
        <v>34</v>
      </c>
      <c r="M120" s="2" t="s">
        <v>35</v>
      </c>
      <c r="N120" s="3">
        <v>914</v>
      </c>
      <c r="O120" s="3">
        <v>2134</v>
      </c>
      <c r="P120" s="2" t="s">
        <v>332</v>
      </c>
      <c r="Q120" s="2" t="s">
        <v>72</v>
      </c>
      <c r="R120" s="8" t="s">
        <v>38</v>
      </c>
      <c r="S120" s="2" t="s">
        <v>39</v>
      </c>
      <c r="T120" s="2" t="s">
        <v>41</v>
      </c>
      <c r="U120" s="2" t="s">
        <v>42</v>
      </c>
      <c r="V120" s="2" t="s">
        <v>72</v>
      </c>
      <c r="W120" s="45"/>
      <c r="X120" s="45" t="s">
        <v>58</v>
      </c>
      <c r="Y120" s="46">
        <v>24</v>
      </c>
      <c r="Z120" s="45" t="s">
        <v>59</v>
      </c>
      <c r="AA120" s="3">
        <v>0</v>
      </c>
      <c r="AB120" s="45"/>
      <c r="AC120" s="45"/>
      <c r="AD120" s="45"/>
      <c r="AE120" s="45"/>
    </row>
    <row r="121" spans="1:31">
      <c r="A121" s="2" t="s">
        <v>206</v>
      </c>
      <c r="B121" s="2" t="s">
        <v>54</v>
      </c>
      <c r="C121" s="2" t="s">
        <v>207</v>
      </c>
      <c r="D121" s="2" t="s">
        <v>87</v>
      </c>
      <c r="E121" s="3">
        <v>312</v>
      </c>
      <c r="F121" s="2" t="s">
        <v>194</v>
      </c>
      <c r="G121" s="2" t="s">
        <v>31</v>
      </c>
      <c r="H121" s="2">
        <v>1</v>
      </c>
      <c r="I121" s="2" t="s">
        <v>56</v>
      </c>
      <c r="J121" s="2" t="s">
        <v>57</v>
      </c>
      <c r="K121" s="2"/>
      <c r="L121" s="2" t="s">
        <v>34</v>
      </c>
      <c r="M121" s="2" t="s">
        <v>35</v>
      </c>
      <c r="N121" s="3">
        <v>914</v>
      </c>
      <c r="O121" s="3">
        <v>2134</v>
      </c>
      <c r="P121" s="2" t="s">
        <v>332</v>
      </c>
      <c r="Q121" s="2" t="s">
        <v>82</v>
      </c>
      <c r="R121" s="8" t="s">
        <v>38</v>
      </c>
      <c r="S121" s="2" t="s">
        <v>39</v>
      </c>
      <c r="T121" s="2" t="s">
        <v>41</v>
      </c>
      <c r="U121" s="2" t="s">
        <v>42</v>
      </c>
      <c r="V121" s="2"/>
      <c r="W121" s="45"/>
      <c r="X121" s="45" t="s">
        <v>88</v>
      </c>
      <c r="Y121" s="46">
        <v>14</v>
      </c>
      <c r="Z121" s="45" t="s">
        <v>89</v>
      </c>
      <c r="AA121" s="3">
        <v>0</v>
      </c>
      <c r="AB121" s="3">
        <v>0</v>
      </c>
      <c r="AC121" s="45"/>
      <c r="AD121" s="45"/>
      <c r="AE121" s="45"/>
    </row>
    <row r="122" spans="1:31">
      <c r="A122" s="2" t="s">
        <v>208</v>
      </c>
      <c r="B122" s="2" t="s">
        <v>85</v>
      </c>
      <c r="C122" s="3">
        <v>313</v>
      </c>
      <c r="D122" s="2" t="s">
        <v>54</v>
      </c>
      <c r="E122" s="2" t="s">
        <v>207</v>
      </c>
      <c r="F122" s="2" t="s">
        <v>194</v>
      </c>
      <c r="G122" s="2" t="s">
        <v>31</v>
      </c>
      <c r="H122" s="2">
        <v>1</v>
      </c>
      <c r="I122" s="2" t="s">
        <v>56</v>
      </c>
      <c r="J122" s="2" t="s">
        <v>57</v>
      </c>
      <c r="K122" s="2"/>
      <c r="L122" s="8" t="s">
        <v>81</v>
      </c>
      <c r="M122" s="2" t="s">
        <v>35</v>
      </c>
      <c r="N122" s="3">
        <v>813</v>
      </c>
      <c r="O122" s="3">
        <v>2134</v>
      </c>
      <c r="P122" s="2" t="s">
        <v>332</v>
      </c>
      <c r="Q122" s="2" t="s">
        <v>82</v>
      </c>
      <c r="R122" s="8" t="s">
        <v>38</v>
      </c>
      <c r="S122" s="2" t="s">
        <v>39</v>
      </c>
      <c r="T122" s="2" t="s">
        <v>41</v>
      </c>
      <c r="U122" s="2" t="s">
        <v>42</v>
      </c>
      <c r="V122" s="2"/>
      <c r="W122" s="45"/>
      <c r="X122" s="45" t="s">
        <v>83</v>
      </c>
      <c r="Y122" s="46">
        <v>32</v>
      </c>
      <c r="Z122" s="45" t="s">
        <v>59</v>
      </c>
      <c r="AA122" s="3">
        <v>0</v>
      </c>
      <c r="AB122" s="45"/>
      <c r="AC122" s="45"/>
      <c r="AD122" s="45"/>
      <c r="AE122" s="3">
        <v>0</v>
      </c>
    </row>
    <row r="123" spans="1:31">
      <c r="A123" s="2" t="s">
        <v>209</v>
      </c>
      <c r="B123" s="2" t="s">
        <v>85</v>
      </c>
      <c r="C123" s="3">
        <v>314</v>
      </c>
      <c r="D123" s="2" t="s">
        <v>54</v>
      </c>
      <c r="E123" s="2" t="s">
        <v>207</v>
      </c>
      <c r="F123" s="2" t="s">
        <v>194</v>
      </c>
      <c r="G123" s="2" t="s">
        <v>31</v>
      </c>
      <c r="H123" s="2">
        <v>1</v>
      </c>
      <c r="I123" s="2" t="s">
        <v>56</v>
      </c>
      <c r="J123" s="2" t="s">
        <v>57</v>
      </c>
      <c r="K123" s="2"/>
      <c r="L123" s="8" t="s">
        <v>81</v>
      </c>
      <c r="M123" s="2" t="s">
        <v>35</v>
      </c>
      <c r="N123" s="3">
        <v>813</v>
      </c>
      <c r="O123" s="3">
        <v>2134</v>
      </c>
      <c r="P123" s="2" t="s">
        <v>332</v>
      </c>
      <c r="Q123" s="2" t="s">
        <v>82</v>
      </c>
      <c r="R123" s="8" t="s">
        <v>38</v>
      </c>
      <c r="S123" s="2" t="s">
        <v>39</v>
      </c>
      <c r="T123" s="2" t="s">
        <v>41</v>
      </c>
      <c r="U123" s="2" t="s">
        <v>42</v>
      </c>
      <c r="V123" s="2"/>
      <c r="W123" s="45"/>
      <c r="X123" s="45" t="s">
        <v>83</v>
      </c>
      <c r="Y123" s="46">
        <v>32</v>
      </c>
      <c r="Z123" s="45" t="s">
        <v>59</v>
      </c>
      <c r="AA123" s="3">
        <v>0</v>
      </c>
      <c r="AB123" s="45"/>
      <c r="AC123" s="45"/>
      <c r="AD123" s="45"/>
      <c r="AE123" s="3">
        <v>0</v>
      </c>
    </row>
    <row r="124" spans="1:31">
      <c r="A124" s="2" t="s">
        <v>210</v>
      </c>
      <c r="B124" s="2" t="s">
        <v>80</v>
      </c>
      <c r="C124" s="3">
        <v>315</v>
      </c>
      <c r="D124" s="2" t="s">
        <v>54</v>
      </c>
      <c r="E124" s="2" t="s">
        <v>207</v>
      </c>
      <c r="F124" s="2" t="s">
        <v>194</v>
      </c>
      <c r="G124" s="2" t="s">
        <v>31</v>
      </c>
      <c r="H124" s="2">
        <v>1</v>
      </c>
      <c r="I124" s="2" t="s">
        <v>56</v>
      </c>
      <c r="J124" s="2" t="s">
        <v>57</v>
      </c>
      <c r="K124" s="2"/>
      <c r="L124" s="8" t="s">
        <v>81</v>
      </c>
      <c r="M124" s="2" t="s">
        <v>35</v>
      </c>
      <c r="N124" s="3">
        <v>813</v>
      </c>
      <c r="O124" s="3">
        <v>2134</v>
      </c>
      <c r="P124" s="2" t="s">
        <v>332</v>
      </c>
      <c r="Q124" s="2" t="s">
        <v>82</v>
      </c>
      <c r="R124" s="8" t="s">
        <v>38</v>
      </c>
      <c r="S124" s="2" t="s">
        <v>39</v>
      </c>
      <c r="T124" s="2" t="s">
        <v>41</v>
      </c>
      <c r="U124" s="2" t="s">
        <v>42</v>
      </c>
      <c r="V124" s="2"/>
      <c r="W124" s="45"/>
      <c r="X124" s="45" t="s">
        <v>83</v>
      </c>
      <c r="Y124" s="46">
        <v>32</v>
      </c>
      <c r="Z124" s="45" t="s">
        <v>59</v>
      </c>
      <c r="AA124" s="3">
        <v>0</v>
      </c>
      <c r="AB124" s="45"/>
      <c r="AC124" s="45"/>
      <c r="AD124" s="45"/>
      <c r="AE124" s="3">
        <v>0</v>
      </c>
    </row>
    <row r="125" spans="1:31">
      <c r="A125" s="2" t="s">
        <v>211</v>
      </c>
      <c r="B125" s="2" t="s">
        <v>212</v>
      </c>
      <c r="C125" s="3">
        <v>316</v>
      </c>
      <c r="D125" s="2" t="s">
        <v>54</v>
      </c>
      <c r="E125" s="2" t="s">
        <v>193</v>
      </c>
      <c r="F125" s="2" t="s">
        <v>194</v>
      </c>
      <c r="G125" s="2" t="s">
        <v>31</v>
      </c>
      <c r="H125" s="2">
        <v>1</v>
      </c>
      <c r="I125" s="2" t="s">
        <v>64</v>
      </c>
      <c r="J125" s="2" t="s">
        <v>65</v>
      </c>
      <c r="K125" s="2"/>
      <c r="L125" s="2" t="s">
        <v>34</v>
      </c>
      <c r="M125" s="2" t="s">
        <v>35</v>
      </c>
      <c r="N125" s="3">
        <v>914</v>
      </c>
      <c r="O125" s="3">
        <v>2134</v>
      </c>
      <c r="P125" s="2" t="s">
        <v>332</v>
      </c>
      <c r="Q125" s="2" t="s">
        <v>82</v>
      </c>
      <c r="R125" s="8" t="s">
        <v>38</v>
      </c>
      <c r="S125" s="2" t="s">
        <v>39</v>
      </c>
      <c r="T125" s="2" t="s">
        <v>41</v>
      </c>
      <c r="U125" s="2" t="s">
        <v>42</v>
      </c>
      <c r="V125" s="2"/>
      <c r="W125" s="8" t="s">
        <v>213</v>
      </c>
      <c r="X125" s="45" t="s">
        <v>88</v>
      </c>
      <c r="Y125" s="46">
        <v>39</v>
      </c>
      <c r="Z125" s="2" t="s">
        <v>59</v>
      </c>
      <c r="AA125" s="3">
        <v>0</v>
      </c>
      <c r="AB125" s="45"/>
      <c r="AC125" s="45"/>
      <c r="AD125" s="45"/>
      <c r="AE125" s="45"/>
    </row>
    <row r="126" spans="1:31">
      <c r="A126" s="2" t="s">
        <v>214</v>
      </c>
      <c r="B126" s="2" t="s">
        <v>54</v>
      </c>
      <c r="C126" s="2" t="s">
        <v>193</v>
      </c>
      <c r="D126" s="2" t="s">
        <v>139</v>
      </c>
      <c r="E126" s="3">
        <v>317</v>
      </c>
      <c r="F126" s="2" t="s">
        <v>194</v>
      </c>
      <c r="G126" s="2" t="s">
        <v>31</v>
      </c>
      <c r="H126" s="2">
        <v>1</v>
      </c>
      <c r="I126" s="2" t="s">
        <v>64</v>
      </c>
      <c r="J126" s="2" t="s">
        <v>65</v>
      </c>
      <c r="K126" s="2"/>
      <c r="L126" s="2" t="s">
        <v>34</v>
      </c>
      <c r="M126" s="2" t="s">
        <v>35</v>
      </c>
      <c r="N126" s="3">
        <v>914</v>
      </c>
      <c r="O126" s="3">
        <v>2134</v>
      </c>
      <c r="P126" s="2" t="s">
        <v>332</v>
      </c>
      <c r="Q126" s="2" t="s">
        <v>82</v>
      </c>
      <c r="R126" s="8" t="s">
        <v>38</v>
      </c>
      <c r="S126" s="2" t="s">
        <v>39</v>
      </c>
      <c r="T126" s="2" t="s">
        <v>41</v>
      </c>
      <c r="U126" s="2" t="s">
        <v>42</v>
      </c>
      <c r="V126" s="2"/>
      <c r="W126" s="2" t="s">
        <v>140</v>
      </c>
      <c r="X126" s="45" t="s">
        <v>88</v>
      </c>
      <c r="Y126" s="46">
        <v>38</v>
      </c>
      <c r="Z126" s="2" t="s">
        <v>59</v>
      </c>
      <c r="AA126" s="3">
        <v>0</v>
      </c>
      <c r="AB126" s="45"/>
      <c r="AC126" s="45"/>
      <c r="AD126" s="45"/>
      <c r="AE126" s="45"/>
    </row>
    <row r="127" spans="1:31">
      <c r="A127" s="2" t="s">
        <v>215</v>
      </c>
      <c r="B127" s="2" t="s">
        <v>158</v>
      </c>
      <c r="C127" s="3">
        <v>318</v>
      </c>
      <c r="D127" s="2" t="s">
        <v>54</v>
      </c>
      <c r="E127" s="2" t="s">
        <v>193</v>
      </c>
      <c r="F127" s="2" t="s">
        <v>194</v>
      </c>
      <c r="G127" s="2" t="s">
        <v>31</v>
      </c>
      <c r="H127" s="2">
        <v>1</v>
      </c>
      <c r="I127" s="2" t="s">
        <v>64</v>
      </c>
      <c r="J127" s="2" t="s">
        <v>65</v>
      </c>
      <c r="K127" s="2"/>
      <c r="L127" s="2" t="s">
        <v>34</v>
      </c>
      <c r="M127" s="2" t="s">
        <v>35</v>
      </c>
      <c r="N127" s="3">
        <v>914</v>
      </c>
      <c r="O127" s="3">
        <v>2134</v>
      </c>
      <c r="P127" s="2" t="s">
        <v>332</v>
      </c>
      <c r="Q127" s="2" t="s">
        <v>37</v>
      </c>
      <c r="R127" s="8" t="s">
        <v>38</v>
      </c>
      <c r="S127" s="2" t="s">
        <v>39</v>
      </c>
      <c r="T127" s="2" t="s">
        <v>41</v>
      </c>
      <c r="U127" s="2" t="s">
        <v>42</v>
      </c>
      <c r="V127" s="2"/>
      <c r="W127" s="45"/>
      <c r="X127" s="45" t="s">
        <v>58</v>
      </c>
      <c r="Y127" s="46">
        <v>25</v>
      </c>
      <c r="Z127" s="45" t="s">
        <v>46</v>
      </c>
      <c r="AA127" s="45"/>
      <c r="AB127" s="45"/>
      <c r="AC127" s="45"/>
      <c r="AD127" s="45"/>
      <c r="AE127" s="45"/>
    </row>
    <row r="128" spans="1:31">
      <c r="A128" s="2" t="s">
        <v>216</v>
      </c>
      <c r="B128" s="2" t="s">
        <v>54</v>
      </c>
      <c r="C128" s="2" t="s">
        <v>193</v>
      </c>
      <c r="D128" s="2" t="s">
        <v>158</v>
      </c>
      <c r="E128" s="3">
        <v>319</v>
      </c>
      <c r="F128" s="2" t="s">
        <v>194</v>
      </c>
      <c r="G128" s="2" t="s">
        <v>31</v>
      </c>
      <c r="H128" s="2">
        <v>1</v>
      </c>
      <c r="I128" s="2" t="s">
        <v>64</v>
      </c>
      <c r="J128" s="2" t="s">
        <v>65</v>
      </c>
      <c r="K128" s="2"/>
      <c r="L128" s="2" t="s">
        <v>34</v>
      </c>
      <c r="M128" s="2" t="s">
        <v>35</v>
      </c>
      <c r="N128" s="3">
        <v>914</v>
      </c>
      <c r="O128" s="3">
        <v>2134</v>
      </c>
      <c r="P128" s="2" t="s">
        <v>332</v>
      </c>
      <c r="Q128" s="2" t="s">
        <v>37</v>
      </c>
      <c r="R128" s="8" t="s">
        <v>38</v>
      </c>
      <c r="S128" s="2" t="s">
        <v>39</v>
      </c>
      <c r="T128" s="2" t="s">
        <v>41</v>
      </c>
      <c r="U128" s="2" t="s">
        <v>42</v>
      </c>
      <c r="V128" s="2"/>
      <c r="W128" s="45"/>
      <c r="X128" s="45" t="s">
        <v>58</v>
      </c>
      <c r="Y128" s="46">
        <v>25</v>
      </c>
      <c r="Z128" s="45" t="s">
        <v>46</v>
      </c>
      <c r="AA128" s="45"/>
      <c r="AB128" s="45"/>
      <c r="AC128" s="45"/>
      <c r="AD128" s="45"/>
      <c r="AE128" s="45"/>
    </row>
    <row r="129" spans="1:31">
      <c r="A129" s="2" t="s">
        <v>217</v>
      </c>
      <c r="B129" s="2" t="s">
        <v>158</v>
      </c>
      <c r="C129" s="3">
        <v>320</v>
      </c>
      <c r="D129" s="2" t="s">
        <v>54</v>
      </c>
      <c r="E129" s="2" t="s">
        <v>193</v>
      </c>
      <c r="F129" s="2" t="s">
        <v>194</v>
      </c>
      <c r="G129" s="2" t="s">
        <v>31</v>
      </c>
      <c r="H129" s="2">
        <v>1</v>
      </c>
      <c r="I129" s="2" t="s">
        <v>64</v>
      </c>
      <c r="J129" s="2" t="s">
        <v>65</v>
      </c>
      <c r="K129" s="2"/>
      <c r="L129" s="2" t="s">
        <v>34</v>
      </c>
      <c r="M129" s="2" t="s">
        <v>35</v>
      </c>
      <c r="N129" s="3">
        <v>914</v>
      </c>
      <c r="O129" s="3">
        <v>2134</v>
      </c>
      <c r="P129" s="2" t="s">
        <v>332</v>
      </c>
      <c r="Q129" s="2" t="s">
        <v>37</v>
      </c>
      <c r="R129" s="8" t="s">
        <v>38</v>
      </c>
      <c r="S129" s="2" t="s">
        <v>39</v>
      </c>
      <c r="T129" s="2" t="s">
        <v>41</v>
      </c>
      <c r="U129" s="2" t="s">
        <v>42</v>
      </c>
      <c r="V129" s="2"/>
      <c r="W129" s="45"/>
      <c r="X129" s="45" t="s">
        <v>58</v>
      </c>
      <c r="Y129" s="46">
        <v>25</v>
      </c>
      <c r="Z129" s="45" t="s">
        <v>46</v>
      </c>
      <c r="AA129" s="45"/>
      <c r="AB129" s="45"/>
      <c r="AC129" s="45"/>
      <c r="AD129" s="45"/>
      <c r="AE129" s="45"/>
    </row>
    <row r="130" spans="1:31">
      <c r="A130" s="2" t="s">
        <v>218</v>
      </c>
      <c r="B130" s="2" t="s">
        <v>54</v>
      </c>
      <c r="C130" s="2" t="s">
        <v>193</v>
      </c>
      <c r="D130" s="2" t="s">
        <v>158</v>
      </c>
      <c r="E130" s="3">
        <v>321</v>
      </c>
      <c r="F130" s="2" t="s">
        <v>194</v>
      </c>
      <c r="G130" s="2" t="s">
        <v>31</v>
      </c>
      <c r="H130" s="2">
        <v>1</v>
      </c>
      <c r="I130" s="2" t="s">
        <v>64</v>
      </c>
      <c r="J130" s="2" t="s">
        <v>65</v>
      </c>
      <c r="K130" s="2"/>
      <c r="L130" s="2" t="s">
        <v>34</v>
      </c>
      <c r="M130" s="2" t="s">
        <v>35</v>
      </c>
      <c r="N130" s="3">
        <v>914</v>
      </c>
      <c r="O130" s="3">
        <v>2134</v>
      </c>
      <c r="P130" s="2" t="s">
        <v>332</v>
      </c>
      <c r="Q130" s="2" t="s">
        <v>37</v>
      </c>
      <c r="R130" s="8" t="s">
        <v>38</v>
      </c>
      <c r="S130" s="2" t="s">
        <v>39</v>
      </c>
      <c r="T130" s="2" t="s">
        <v>41</v>
      </c>
      <c r="U130" s="2" t="s">
        <v>42</v>
      </c>
      <c r="V130" s="2"/>
      <c r="W130" s="45"/>
      <c r="X130" s="45" t="s">
        <v>58</v>
      </c>
      <c r="Y130" s="46">
        <v>25</v>
      </c>
      <c r="Z130" s="45" t="s">
        <v>46</v>
      </c>
      <c r="AA130" s="45"/>
      <c r="AB130" s="45"/>
      <c r="AC130" s="45"/>
      <c r="AD130" s="45"/>
      <c r="AE130" s="45"/>
    </row>
    <row r="131" spans="1:31">
      <c r="A131" s="2" t="s">
        <v>219</v>
      </c>
      <c r="B131" s="2" t="s">
        <v>85</v>
      </c>
      <c r="C131" s="3">
        <v>322</v>
      </c>
      <c r="D131" s="2" t="s">
        <v>54</v>
      </c>
      <c r="E131" s="2" t="s">
        <v>220</v>
      </c>
      <c r="F131" s="2" t="s">
        <v>194</v>
      </c>
      <c r="G131" s="2" t="s">
        <v>31</v>
      </c>
      <c r="H131" s="2">
        <v>1</v>
      </c>
      <c r="I131" s="2" t="s">
        <v>56</v>
      </c>
      <c r="J131" s="2" t="s">
        <v>57</v>
      </c>
      <c r="K131" s="2"/>
      <c r="L131" s="8" t="s">
        <v>81</v>
      </c>
      <c r="M131" s="2" t="s">
        <v>35</v>
      </c>
      <c r="N131" s="3">
        <v>813</v>
      </c>
      <c r="O131" s="3">
        <v>2134</v>
      </c>
      <c r="P131" s="2" t="s">
        <v>332</v>
      </c>
      <c r="Q131" s="2" t="s">
        <v>82</v>
      </c>
      <c r="R131" s="8" t="s">
        <v>38</v>
      </c>
      <c r="S131" s="2" t="s">
        <v>39</v>
      </c>
      <c r="T131" s="2" t="s">
        <v>41</v>
      </c>
      <c r="U131" s="2" t="s">
        <v>42</v>
      </c>
      <c r="V131" s="2"/>
      <c r="W131" s="45"/>
      <c r="X131" s="45" t="s">
        <v>83</v>
      </c>
      <c r="Y131" s="46">
        <v>32</v>
      </c>
      <c r="Z131" s="45" t="s">
        <v>59</v>
      </c>
      <c r="AA131" s="3">
        <v>0</v>
      </c>
      <c r="AB131" s="45"/>
      <c r="AC131" s="45"/>
      <c r="AD131" s="45"/>
      <c r="AE131" s="3">
        <v>0</v>
      </c>
    </row>
    <row r="132" spans="1:31">
      <c r="A132" s="2" t="s">
        <v>221</v>
      </c>
      <c r="B132" s="2" t="s">
        <v>85</v>
      </c>
      <c r="C132" s="3">
        <v>323</v>
      </c>
      <c r="D132" s="2" t="s">
        <v>54</v>
      </c>
      <c r="E132" s="2" t="s">
        <v>220</v>
      </c>
      <c r="F132" s="2" t="s">
        <v>194</v>
      </c>
      <c r="G132" s="2" t="s">
        <v>31</v>
      </c>
      <c r="H132" s="2">
        <v>1</v>
      </c>
      <c r="I132" s="2" t="s">
        <v>56</v>
      </c>
      <c r="J132" s="2" t="s">
        <v>57</v>
      </c>
      <c r="K132" s="2"/>
      <c r="L132" s="8" t="s">
        <v>81</v>
      </c>
      <c r="M132" s="2" t="s">
        <v>35</v>
      </c>
      <c r="N132" s="3">
        <v>813</v>
      </c>
      <c r="O132" s="3">
        <v>2134</v>
      </c>
      <c r="P132" s="2" t="s">
        <v>332</v>
      </c>
      <c r="Q132" s="2" t="s">
        <v>82</v>
      </c>
      <c r="R132" s="8" t="s">
        <v>38</v>
      </c>
      <c r="S132" s="2" t="s">
        <v>39</v>
      </c>
      <c r="T132" s="2" t="s">
        <v>41</v>
      </c>
      <c r="U132" s="2" t="s">
        <v>42</v>
      </c>
      <c r="V132" s="2"/>
      <c r="W132" s="45"/>
      <c r="X132" s="45" t="s">
        <v>83</v>
      </c>
      <c r="Y132" s="46">
        <v>32</v>
      </c>
      <c r="Z132" s="45" t="s">
        <v>59</v>
      </c>
      <c r="AA132" s="3">
        <v>0</v>
      </c>
      <c r="AB132" s="45"/>
      <c r="AC132" s="45"/>
      <c r="AD132" s="45"/>
      <c r="AE132" s="3">
        <v>0</v>
      </c>
    </row>
    <row r="133" spans="1:31">
      <c r="A133" s="2" t="s">
        <v>222</v>
      </c>
      <c r="B133" s="2" t="s">
        <v>85</v>
      </c>
      <c r="C133" s="3">
        <v>324</v>
      </c>
      <c r="D133" s="2" t="s">
        <v>54</v>
      </c>
      <c r="E133" s="2" t="s">
        <v>220</v>
      </c>
      <c r="F133" s="2" t="s">
        <v>194</v>
      </c>
      <c r="G133" s="2" t="s">
        <v>31</v>
      </c>
      <c r="H133" s="2">
        <v>1</v>
      </c>
      <c r="I133" s="2" t="s">
        <v>56</v>
      </c>
      <c r="J133" s="2" t="s">
        <v>57</v>
      </c>
      <c r="K133" s="2"/>
      <c r="L133" s="8" t="s">
        <v>81</v>
      </c>
      <c r="M133" s="2" t="s">
        <v>35</v>
      </c>
      <c r="N133" s="3">
        <v>813</v>
      </c>
      <c r="O133" s="3">
        <v>2134</v>
      </c>
      <c r="P133" s="2" t="s">
        <v>332</v>
      </c>
      <c r="Q133" s="2" t="s">
        <v>82</v>
      </c>
      <c r="R133" s="8" t="s">
        <v>38</v>
      </c>
      <c r="S133" s="2" t="s">
        <v>39</v>
      </c>
      <c r="T133" s="2" t="s">
        <v>41</v>
      </c>
      <c r="U133" s="2" t="s">
        <v>42</v>
      </c>
      <c r="V133" s="2"/>
      <c r="W133" s="45"/>
      <c r="X133" s="45" t="s">
        <v>83</v>
      </c>
      <c r="Y133" s="46">
        <v>32</v>
      </c>
      <c r="Z133" s="45" t="s">
        <v>59</v>
      </c>
      <c r="AA133" s="3">
        <v>0</v>
      </c>
      <c r="AB133" s="45"/>
      <c r="AC133" s="45"/>
      <c r="AD133" s="45"/>
      <c r="AE133" s="3">
        <v>0</v>
      </c>
    </row>
    <row r="134" spans="1:31">
      <c r="A134" s="2" t="s">
        <v>223</v>
      </c>
      <c r="B134" s="2" t="s">
        <v>87</v>
      </c>
      <c r="C134" s="3">
        <v>325</v>
      </c>
      <c r="D134" s="2" t="s">
        <v>54</v>
      </c>
      <c r="E134" s="2" t="s">
        <v>220</v>
      </c>
      <c r="F134" s="2" t="s">
        <v>194</v>
      </c>
      <c r="G134" s="2" t="s">
        <v>31</v>
      </c>
      <c r="H134" s="2">
        <v>1</v>
      </c>
      <c r="I134" s="2" t="s">
        <v>56</v>
      </c>
      <c r="J134" s="2" t="s">
        <v>57</v>
      </c>
      <c r="K134" s="2"/>
      <c r="L134" s="2" t="s">
        <v>34</v>
      </c>
      <c r="M134" s="2" t="s">
        <v>35</v>
      </c>
      <c r="N134" s="3">
        <v>914</v>
      </c>
      <c r="O134" s="3">
        <v>2134</v>
      </c>
      <c r="P134" s="2" t="s">
        <v>332</v>
      </c>
      <c r="Q134" s="2" t="s">
        <v>82</v>
      </c>
      <c r="R134" s="8" t="s">
        <v>38</v>
      </c>
      <c r="S134" s="2" t="s">
        <v>39</v>
      </c>
      <c r="T134" s="2" t="s">
        <v>41</v>
      </c>
      <c r="U134" s="2" t="s">
        <v>42</v>
      </c>
      <c r="V134" s="2"/>
      <c r="W134" s="45"/>
      <c r="X134" s="45" t="s">
        <v>88</v>
      </c>
      <c r="Y134" s="46">
        <v>14</v>
      </c>
      <c r="Z134" s="45" t="s">
        <v>89</v>
      </c>
      <c r="AA134" s="3">
        <v>0</v>
      </c>
      <c r="AB134" s="3">
        <v>0</v>
      </c>
      <c r="AC134" s="45"/>
      <c r="AD134" s="45"/>
      <c r="AE134" s="45"/>
    </row>
    <row r="135" spans="1:31">
      <c r="A135" s="2" t="s">
        <v>224</v>
      </c>
      <c r="B135" s="2" t="s">
        <v>172</v>
      </c>
      <c r="C135" s="3">
        <v>326</v>
      </c>
      <c r="D135" s="2" t="s">
        <v>54</v>
      </c>
      <c r="E135" s="2" t="s">
        <v>193</v>
      </c>
      <c r="F135" s="2" t="s">
        <v>194</v>
      </c>
      <c r="G135" s="2" t="s">
        <v>31</v>
      </c>
      <c r="H135" s="2">
        <v>1</v>
      </c>
      <c r="I135" s="2" t="s">
        <v>32</v>
      </c>
      <c r="J135" s="2" t="s">
        <v>33</v>
      </c>
      <c r="K135" s="2"/>
      <c r="L135" s="2" t="s">
        <v>34</v>
      </c>
      <c r="M135" s="2" t="s">
        <v>35</v>
      </c>
      <c r="N135" s="3">
        <v>914</v>
      </c>
      <c r="O135" s="3">
        <v>2134</v>
      </c>
      <c r="P135" s="2" t="s">
        <v>332</v>
      </c>
      <c r="Q135" s="2" t="s">
        <v>72</v>
      </c>
      <c r="R135" s="8" t="s">
        <v>38</v>
      </c>
      <c r="S135" s="2" t="s">
        <v>39</v>
      </c>
      <c r="T135" s="2" t="s">
        <v>41</v>
      </c>
      <c r="U135" s="2" t="s">
        <v>42</v>
      </c>
      <c r="V135" s="2" t="s">
        <v>72</v>
      </c>
      <c r="W135" s="45"/>
      <c r="X135" s="45" t="s">
        <v>58</v>
      </c>
      <c r="Y135" s="46">
        <v>24</v>
      </c>
      <c r="Z135" s="45" t="s">
        <v>59</v>
      </c>
      <c r="AA135" s="3">
        <v>0</v>
      </c>
      <c r="AB135" s="45"/>
      <c r="AC135" s="45"/>
      <c r="AD135" s="45"/>
      <c r="AE135" s="45"/>
    </row>
    <row r="136" spans="1:31">
      <c r="A136" s="2" t="s">
        <v>300</v>
      </c>
      <c r="B136" s="2" t="s">
        <v>54</v>
      </c>
      <c r="C136" s="2" t="s">
        <v>55</v>
      </c>
      <c r="D136" s="45"/>
      <c r="E136" s="45"/>
      <c r="F136" s="2" t="s">
        <v>30</v>
      </c>
      <c r="G136" s="2" t="s">
        <v>234</v>
      </c>
      <c r="H136" s="2">
        <v>1</v>
      </c>
      <c r="I136" s="2" t="s">
        <v>301</v>
      </c>
      <c r="J136" s="2" t="s">
        <v>236</v>
      </c>
      <c r="K136" s="2"/>
      <c r="L136" s="2" t="s">
        <v>66</v>
      </c>
      <c r="M136" s="2" t="s">
        <v>35</v>
      </c>
      <c r="N136" s="3">
        <v>1828</v>
      </c>
      <c r="O136" s="3">
        <v>2134</v>
      </c>
      <c r="P136" s="2" t="s">
        <v>332</v>
      </c>
      <c r="Q136" s="2" t="s">
        <v>258</v>
      </c>
      <c r="R136" s="2" t="s">
        <v>41</v>
      </c>
      <c r="S136" s="2" t="s">
        <v>42</v>
      </c>
      <c r="T136" s="2" t="s">
        <v>41</v>
      </c>
      <c r="U136" s="2" t="s">
        <v>42</v>
      </c>
      <c r="V136" s="2"/>
      <c r="W136" s="45"/>
      <c r="X136" s="45" t="s">
        <v>95</v>
      </c>
      <c r="Y136" s="46">
        <v>10</v>
      </c>
      <c r="Z136" s="45" t="s">
        <v>239</v>
      </c>
      <c r="AA136" s="3">
        <v>0</v>
      </c>
      <c r="AB136" s="3">
        <v>0</v>
      </c>
      <c r="AC136" s="3">
        <v>0</v>
      </c>
      <c r="AD136" s="45"/>
      <c r="AE136" s="45"/>
    </row>
    <row r="137" spans="1:31">
      <c r="A137" s="2" t="s">
        <v>302</v>
      </c>
      <c r="B137" s="2" t="s">
        <v>54</v>
      </c>
      <c r="C137" s="2" t="s">
        <v>55</v>
      </c>
      <c r="D137" s="45"/>
      <c r="E137" s="45"/>
      <c r="F137" s="2" t="s">
        <v>30</v>
      </c>
      <c r="G137" s="2" t="s">
        <v>234</v>
      </c>
      <c r="H137" s="2">
        <v>1</v>
      </c>
      <c r="I137" s="2" t="s">
        <v>303</v>
      </c>
      <c r="J137" s="2" t="s">
        <v>236</v>
      </c>
      <c r="K137" s="2"/>
      <c r="L137" s="2" t="s">
        <v>66</v>
      </c>
      <c r="M137" s="2" t="s">
        <v>35</v>
      </c>
      <c r="N137" s="3">
        <v>1828</v>
      </c>
      <c r="O137" s="3">
        <v>2134</v>
      </c>
      <c r="P137" s="2" t="s">
        <v>332</v>
      </c>
      <c r="Q137" s="2" t="s">
        <v>258</v>
      </c>
      <c r="R137" s="2" t="s">
        <v>41</v>
      </c>
      <c r="S137" s="2" t="s">
        <v>42</v>
      </c>
      <c r="T137" s="2" t="s">
        <v>41</v>
      </c>
      <c r="U137" s="2" t="s">
        <v>42</v>
      </c>
      <c r="V137" s="2"/>
      <c r="W137" s="8" t="s">
        <v>213</v>
      </c>
      <c r="X137" s="2" t="s">
        <v>95</v>
      </c>
      <c r="Y137" s="46">
        <v>9</v>
      </c>
      <c r="Z137" s="2" t="s">
        <v>239</v>
      </c>
      <c r="AA137" s="3">
        <v>0</v>
      </c>
      <c r="AB137" s="3">
        <v>0</v>
      </c>
      <c r="AC137" s="3">
        <v>0</v>
      </c>
      <c r="AD137" s="45"/>
      <c r="AE137" s="45"/>
    </row>
    <row r="138" spans="1:31">
      <c r="A138" s="2" t="s">
        <v>225</v>
      </c>
      <c r="B138" s="2" t="s">
        <v>54</v>
      </c>
      <c r="C138" s="2" t="s">
        <v>55</v>
      </c>
      <c r="D138" s="2" t="s">
        <v>54</v>
      </c>
      <c r="E138" s="2" t="s">
        <v>55</v>
      </c>
      <c r="F138" s="2" t="s">
        <v>30</v>
      </c>
      <c r="G138" s="2" t="s">
        <v>31</v>
      </c>
      <c r="H138" s="2">
        <v>1</v>
      </c>
      <c r="I138" s="2" t="s">
        <v>121</v>
      </c>
      <c r="J138" s="2" t="s">
        <v>122</v>
      </c>
      <c r="K138" s="2"/>
      <c r="L138" s="2" t="s">
        <v>34</v>
      </c>
      <c r="M138" s="2" t="s">
        <v>35</v>
      </c>
      <c r="N138" s="3">
        <v>914</v>
      </c>
      <c r="O138" s="3">
        <v>2134</v>
      </c>
      <c r="P138" s="2" t="s">
        <v>332</v>
      </c>
      <c r="Q138" s="2" t="s">
        <v>37</v>
      </c>
      <c r="R138" s="8" t="s">
        <v>38</v>
      </c>
      <c r="S138" s="2" t="s">
        <v>39</v>
      </c>
      <c r="T138" s="2" t="s">
        <v>41</v>
      </c>
      <c r="U138" s="2" t="s">
        <v>42</v>
      </c>
      <c r="V138" s="2"/>
      <c r="W138" s="45"/>
      <c r="X138" s="45" t="s">
        <v>95</v>
      </c>
      <c r="Y138" s="46">
        <v>15</v>
      </c>
      <c r="Z138" s="45" t="s">
        <v>96</v>
      </c>
      <c r="AA138" s="45"/>
      <c r="AB138" s="45"/>
      <c r="AC138" s="45"/>
      <c r="AD138" s="45"/>
      <c r="AE138" s="45"/>
    </row>
    <row r="139" spans="1:31">
      <c r="A139" s="6" t="s">
        <v>345</v>
      </c>
      <c r="B139" s="48"/>
      <c r="C139" s="48"/>
      <c r="D139" s="48"/>
      <c r="E139" s="48"/>
      <c r="F139" s="6" t="s">
        <v>30</v>
      </c>
      <c r="G139" s="6" t="s">
        <v>31</v>
      </c>
      <c r="H139" s="6">
        <v>1</v>
      </c>
      <c r="I139" s="6"/>
      <c r="J139" s="6"/>
      <c r="K139" s="6" t="s">
        <v>334</v>
      </c>
      <c r="L139" s="6"/>
      <c r="M139" s="6"/>
      <c r="N139" s="48"/>
      <c r="O139" s="48"/>
      <c r="P139" s="48"/>
      <c r="Q139" s="6" t="s">
        <v>346</v>
      </c>
      <c r="R139" s="6"/>
      <c r="S139" s="6"/>
      <c r="T139" s="6"/>
      <c r="U139" s="6"/>
      <c r="V139" s="6"/>
      <c r="W139" s="48"/>
      <c r="X139" s="48"/>
      <c r="Y139" s="49">
        <v>46</v>
      </c>
      <c r="Z139" s="48"/>
      <c r="AA139" s="48"/>
      <c r="AB139" s="48"/>
      <c r="AC139" s="48"/>
      <c r="AD139" s="48"/>
      <c r="AE139" s="48"/>
    </row>
    <row r="140" spans="1:31">
      <c r="A140" s="2" t="s">
        <v>226</v>
      </c>
      <c r="B140" s="2" t="s">
        <v>92</v>
      </c>
      <c r="C140" s="3">
        <v>109</v>
      </c>
      <c r="D140" s="2" t="s">
        <v>54</v>
      </c>
      <c r="E140" s="2" t="s">
        <v>98</v>
      </c>
      <c r="F140" s="2" t="s">
        <v>30</v>
      </c>
      <c r="G140" s="2" t="s">
        <v>31</v>
      </c>
      <c r="H140" s="2">
        <v>1</v>
      </c>
      <c r="I140" s="2" t="s">
        <v>227</v>
      </c>
      <c r="J140" s="2" t="s">
        <v>228</v>
      </c>
      <c r="K140" s="2"/>
      <c r="L140" s="2" t="s">
        <v>34</v>
      </c>
      <c r="M140" s="2" t="s">
        <v>35</v>
      </c>
      <c r="N140" s="3">
        <v>914</v>
      </c>
      <c r="O140" s="3">
        <v>2134</v>
      </c>
      <c r="P140" s="2" t="s">
        <v>332</v>
      </c>
      <c r="Q140" s="2" t="s">
        <v>37</v>
      </c>
      <c r="R140" s="8" t="s">
        <v>38</v>
      </c>
      <c r="S140" s="2" t="s">
        <v>39</v>
      </c>
      <c r="T140" s="2" t="s">
        <v>41</v>
      </c>
      <c r="U140" s="2" t="s">
        <v>42</v>
      </c>
      <c r="V140" s="2"/>
      <c r="W140" s="45"/>
      <c r="X140" s="45" t="s">
        <v>229</v>
      </c>
      <c r="Y140" s="46">
        <v>31</v>
      </c>
      <c r="Z140" s="45" t="s">
        <v>89</v>
      </c>
      <c r="AA140" s="3">
        <v>0</v>
      </c>
      <c r="AB140" s="3">
        <v>0</v>
      </c>
      <c r="AC140" s="45"/>
      <c r="AD140" s="45"/>
      <c r="AE140" s="45"/>
    </row>
    <row r="141" spans="1:31">
      <c r="A141" s="2" t="s">
        <v>304</v>
      </c>
      <c r="B141" s="45"/>
      <c r="C141" s="45"/>
      <c r="D141" s="2" t="s">
        <v>54</v>
      </c>
      <c r="E141" s="2" t="s">
        <v>98</v>
      </c>
      <c r="F141" s="2" t="s">
        <v>30</v>
      </c>
      <c r="G141" s="2" t="s">
        <v>234</v>
      </c>
      <c r="H141" s="2">
        <v>1</v>
      </c>
      <c r="I141" s="2" t="s">
        <v>262</v>
      </c>
      <c r="J141" s="2" t="s">
        <v>236</v>
      </c>
      <c r="K141" s="2"/>
      <c r="L141" s="2" t="s">
        <v>34</v>
      </c>
      <c r="M141" s="2" t="s">
        <v>35</v>
      </c>
      <c r="N141" s="3">
        <v>914</v>
      </c>
      <c r="O141" s="3">
        <v>2134</v>
      </c>
      <c r="P141" s="2" t="s">
        <v>332</v>
      </c>
      <c r="Q141" s="2" t="s">
        <v>248</v>
      </c>
      <c r="R141" s="2" t="s">
        <v>41</v>
      </c>
      <c r="S141" s="2" t="s">
        <v>42</v>
      </c>
      <c r="T141" s="2" t="s">
        <v>41</v>
      </c>
      <c r="U141" s="2" t="s">
        <v>42</v>
      </c>
      <c r="V141" s="2"/>
      <c r="W141" s="45"/>
      <c r="X141" s="45" t="s">
        <v>95</v>
      </c>
      <c r="Y141" s="46">
        <v>11</v>
      </c>
      <c r="Z141" s="45" t="s">
        <v>305</v>
      </c>
      <c r="AA141" s="3">
        <v>0</v>
      </c>
      <c r="AB141" s="3">
        <v>0</v>
      </c>
      <c r="AC141" s="45"/>
      <c r="AD141" s="45"/>
      <c r="AE141" s="45"/>
    </row>
    <row r="142" spans="1:31">
      <c r="A142" s="6" t="s">
        <v>347</v>
      </c>
      <c r="B142" s="48"/>
      <c r="C142" s="48"/>
      <c r="D142" s="48"/>
      <c r="E142" s="48"/>
      <c r="F142" s="6" t="s">
        <v>348</v>
      </c>
      <c r="G142" s="6" t="s">
        <v>234</v>
      </c>
      <c r="H142" s="6">
        <v>1</v>
      </c>
      <c r="I142" s="6"/>
      <c r="J142" s="6"/>
      <c r="K142" s="6" t="s">
        <v>349</v>
      </c>
      <c r="L142" s="6" t="s">
        <v>350</v>
      </c>
      <c r="M142" s="6" t="s">
        <v>351</v>
      </c>
      <c r="N142" s="7">
        <v>1150</v>
      </c>
      <c r="O142" s="7">
        <v>2100</v>
      </c>
      <c r="P142" s="48"/>
      <c r="Q142" s="48"/>
      <c r="R142" s="48" t="s">
        <v>352</v>
      </c>
      <c r="S142" s="48"/>
      <c r="T142" s="48" t="s">
        <v>352</v>
      </c>
      <c r="U142" s="48"/>
      <c r="V142" s="48"/>
      <c r="W142" s="48"/>
      <c r="X142" s="48"/>
      <c r="Y142" s="49"/>
      <c r="Z142" s="48"/>
      <c r="AA142" s="48"/>
      <c r="AB142" s="48"/>
      <c r="AC142" s="48"/>
      <c r="AD142" s="48"/>
      <c r="AE142" s="48"/>
    </row>
    <row r="143" spans="1:31">
      <c r="A143" s="6" t="s">
        <v>353</v>
      </c>
      <c r="B143" s="48"/>
      <c r="C143" s="48"/>
      <c r="D143" s="48"/>
      <c r="E143" s="48"/>
      <c r="F143" s="6" t="s">
        <v>348</v>
      </c>
      <c r="G143" s="6" t="s">
        <v>234</v>
      </c>
      <c r="H143" s="6">
        <v>1</v>
      </c>
      <c r="I143" s="6"/>
      <c r="J143" s="6"/>
      <c r="K143" s="6" t="s">
        <v>349</v>
      </c>
      <c r="L143" s="6" t="s">
        <v>350</v>
      </c>
      <c r="M143" s="6" t="s">
        <v>351</v>
      </c>
      <c r="N143" s="7">
        <v>1150</v>
      </c>
      <c r="O143" s="7">
        <v>2100</v>
      </c>
      <c r="P143" s="48"/>
      <c r="Q143" s="48"/>
      <c r="R143" s="48" t="s">
        <v>352</v>
      </c>
      <c r="S143" s="48"/>
      <c r="T143" s="48" t="s">
        <v>352</v>
      </c>
      <c r="U143" s="48"/>
      <c r="V143" s="48"/>
      <c r="W143" s="48"/>
      <c r="X143" s="48"/>
      <c r="Y143" s="49"/>
      <c r="Z143" s="48"/>
      <c r="AA143" s="48"/>
      <c r="AB143" s="48"/>
      <c r="AC143" s="48"/>
      <c r="AD143" s="48"/>
      <c r="AE143" s="48"/>
    </row>
    <row r="144" spans="1:31">
      <c r="A144" s="6" t="s">
        <v>354</v>
      </c>
      <c r="B144" s="48"/>
      <c r="C144" s="48"/>
      <c r="D144" s="48"/>
      <c r="E144" s="48"/>
      <c r="F144" s="6" t="s">
        <v>348</v>
      </c>
      <c r="G144" s="6" t="s">
        <v>234</v>
      </c>
      <c r="H144" s="6">
        <v>1</v>
      </c>
      <c r="I144" s="6"/>
      <c r="J144" s="6"/>
      <c r="K144" s="6" t="s">
        <v>349</v>
      </c>
      <c r="L144" s="6" t="s">
        <v>350</v>
      </c>
      <c r="M144" s="6" t="s">
        <v>351</v>
      </c>
      <c r="N144" s="7">
        <v>1150</v>
      </c>
      <c r="O144" s="7">
        <v>2100</v>
      </c>
      <c r="P144" s="48"/>
      <c r="Q144" s="48"/>
      <c r="R144" s="48" t="s">
        <v>352</v>
      </c>
      <c r="S144" s="48"/>
      <c r="T144" s="48" t="s">
        <v>352</v>
      </c>
      <c r="U144" s="48"/>
      <c r="V144" s="48"/>
      <c r="W144" s="48"/>
      <c r="X144" s="48"/>
      <c r="Y144" s="49"/>
      <c r="Z144" s="48"/>
      <c r="AA144" s="48"/>
      <c r="AB144" s="48"/>
      <c r="AC144" s="48"/>
      <c r="AD144" s="48"/>
      <c r="AE144" s="48"/>
    </row>
    <row r="145" spans="1:31">
      <c r="A145" s="6" t="s">
        <v>355</v>
      </c>
      <c r="B145" s="48"/>
      <c r="C145" s="48"/>
      <c r="D145" s="48"/>
      <c r="E145" s="48"/>
      <c r="F145" s="6" t="s">
        <v>348</v>
      </c>
      <c r="G145" s="6" t="s">
        <v>234</v>
      </c>
      <c r="H145" s="6">
        <v>1</v>
      </c>
      <c r="I145" s="6"/>
      <c r="J145" s="6"/>
      <c r="K145" s="6" t="s">
        <v>349</v>
      </c>
      <c r="L145" s="6" t="s">
        <v>350</v>
      </c>
      <c r="M145" s="6" t="s">
        <v>351</v>
      </c>
      <c r="N145" s="7">
        <v>1150</v>
      </c>
      <c r="O145" s="7">
        <v>2100</v>
      </c>
      <c r="P145" s="48"/>
      <c r="Q145" s="48"/>
      <c r="R145" s="48" t="s">
        <v>352</v>
      </c>
      <c r="S145" s="48"/>
      <c r="T145" s="48" t="s">
        <v>352</v>
      </c>
      <c r="U145" s="48"/>
      <c r="V145" s="48"/>
      <c r="W145" s="48"/>
      <c r="X145" s="48"/>
      <c r="Y145" s="49"/>
      <c r="Z145" s="48"/>
      <c r="AA145" s="48"/>
      <c r="AB145" s="48"/>
      <c r="AC145" s="48"/>
      <c r="AD145" s="48"/>
      <c r="AE145" s="48"/>
    </row>
    <row r="146" spans="1:31">
      <c r="A146" s="6" t="s">
        <v>356</v>
      </c>
      <c r="B146" s="48"/>
      <c r="C146" s="48"/>
      <c r="D146" s="48"/>
      <c r="E146" s="48"/>
      <c r="F146" s="6" t="s">
        <v>348</v>
      </c>
      <c r="G146" s="6" t="s">
        <v>234</v>
      </c>
      <c r="H146" s="6">
        <v>1</v>
      </c>
      <c r="I146" s="6"/>
      <c r="J146" s="6"/>
      <c r="K146" s="6" t="s">
        <v>349</v>
      </c>
      <c r="L146" s="6" t="s">
        <v>350</v>
      </c>
      <c r="M146" s="6" t="s">
        <v>351</v>
      </c>
      <c r="N146" s="7">
        <v>1150</v>
      </c>
      <c r="O146" s="7">
        <v>2100</v>
      </c>
      <c r="P146" s="48"/>
      <c r="Q146" s="48"/>
      <c r="R146" s="48" t="s">
        <v>352</v>
      </c>
      <c r="S146" s="48"/>
      <c r="T146" s="48" t="s">
        <v>352</v>
      </c>
      <c r="U146" s="48"/>
      <c r="V146" s="48"/>
      <c r="W146" s="48"/>
      <c r="X146" s="48"/>
      <c r="Y146" s="49"/>
      <c r="Z146" s="48"/>
      <c r="AA146" s="48"/>
      <c r="AB146" s="48"/>
      <c r="AC146" s="48"/>
      <c r="AD146" s="48"/>
      <c r="AE146" s="48"/>
    </row>
    <row r="147" spans="1:31">
      <c r="A147" s="2" t="s">
        <v>306</v>
      </c>
      <c r="B147" s="2" t="s">
        <v>54</v>
      </c>
      <c r="C147" s="2" t="s">
        <v>55</v>
      </c>
      <c r="D147" s="2" t="s">
        <v>307</v>
      </c>
      <c r="E147" s="2" t="s">
        <v>308</v>
      </c>
      <c r="F147" s="2" t="s">
        <v>30</v>
      </c>
      <c r="G147" s="6" t="s">
        <v>31</v>
      </c>
      <c r="H147" s="2">
        <v>1</v>
      </c>
      <c r="I147" s="2" t="s">
        <v>37</v>
      </c>
      <c r="J147" s="2" t="s">
        <v>236</v>
      </c>
      <c r="K147" s="2"/>
      <c r="L147" s="8" t="s">
        <v>66</v>
      </c>
      <c r="M147" s="2" t="s">
        <v>35</v>
      </c>
      <c r="N147" s="3">
        <v>1828</v>
      </c>
      <c r="O147" s="3">
        <v>2134</v>
      </c>
      <c r="P147" s="2" t="s">
        <v>332</v>
      </c>
      <c r="Q147" s="2" t="s">
        <v>309</v>
      </c>
      <c r="R147" s="2" t="s">
        <v>41</v>
      </c>
      <c r="S147" s="2" t="s">
        <v>42</v>
      </c>
      <c r="T147" s="2" t="s">
        <v>41</v>
      </c>
      <c r="U147" s="2" t="s">
        <v>42</v>
      </c>
      <c r="V147" s="2"/>
      <c r="W147" s="8" t="s">
        <v>213</v>
      </c>
      <c r="X147" s="2" t="s">
        <v>95</v>
      </c>
      <c r="Y147" s="46">
        <v>42</v>
      </c>
      <c r="Z147" s="2" t="s">
        <v>96</v>
      </c>
      <c r="AA147" s="3">
        <v>0</v>
      </c>
      <c r="AB147" s="45"/>
      <c r="AC147" s="3">
        <v>0</v>
      </c>
      <c r="AD147" s="45"/>
      <c r="AE147" s="3">
        <v>0</v>
      </c>
    </row>
    <row r="148" spans="1:31">
      <c r="A148" s="2" t="s">
        <v>310</v>
      </c>
      <c r="B148" s="2" t="s">
        <v>307</v>
      </c>
      <c r="C148" s="2" t="s">
        <v>308</v>
      </c>
      <c r="D148" s="45"/>
      <c r="E148" s="45"/>
      <c r="F148" s="2" t="s">
        <v>30</v>
      </c>
      <c r="G148" s="2" t="s">
        <v>234</v>
      </c>
      <c r="H148" s="2">
        <v>1</v>
      </c>
      <c r="I148" s="2" t="s">
        <v>37</v>
      </c>
      <c r="J148" s="2" t="s">
        <v>236</v>
      </c>
      <c r="K148" s="2"/>
      <c r="L148" s="2" t="s">
        <v>66</v>
      </c>
      <c r="M148" s="2" t="s">
        <v>35</v>
      </c>
      <c r="N148" s="3">
        <v>1828</v>
      </c>
      <c r="O148" s="3">
        <v>2134</v>
      </c>
      <c r="P148" s="2" t="s">
        <v>332</v>
      </c>
      <c r="Q148" s="2" t="s">
        <v>258</v>
      </c>
      <c r="R148" s="2" t="s">
        <v>41</v>
      </c>
      <c r="S148" s="2" t="s">
        <v>42</v>
      </c>
      <c r="T148" s="2" t="s">
        <v>41</v>
      </c>
      <c r="U148" s="2" t="s">
        <v>42</v>
      </c>
      <c r="V148" s="2"/>
      <c r="W148" s="45"/>
      <c r="X148" s="45" t="s">
        <v>95</v>
      </c>
      <c r="Y148" s="46">
        <v>10</v>
      </c>
      <c r="Z148" s="45" t="s">
        <v>239</v>
      </c>
      <c r="AA148" s="3">
        <v>0</v>
      </c>
      <c r="AB148" s="45"/>
      <c r="AC148" s="45"/>
      <c r="AD148" s="3">
        <v>0</v>
      </c>
      <c r="AE148" s="45"/>
    </row>
    <row r="149" spans="1:31">
      <c r="A149" s="2" t="s">
        <v>311</v>
      </c>
      <c r="B149" s="2" t="s">
        <v>54</v>
      </c>
      <c r="C149" s="2" t="s">
        <v>157</v>
      </c>
      <c r="D149" s="2" t="s">
        <v>307</v>
      </c>
      <c r="E149" s="2" t="s">
        <v>308</v>
      </c>
      <c r="F149" s="2" t="s">
        <v>159</v>
      </c>
      <c r="G149" s="6" t="s">
        <v>31</v>
      </c>
      <c r="H149" s="2">
        <v>1</v>
      </c>
      <c r="I149" s="2" t="s">
        <v>37</v>
      </c>
      <c r="J149" s="2" t="s">
        <v>236</v>
      </c>
      <c r="K149" s="2"/>
      <c r="L149" s="8" t="s">
        <v>66</v>
      </c>
      <c r="M149" s="2" t="s">
        <v>35</v>
      </c>
      <c r="N149" s="3">
        <v>1828</v>
      </c>
      <c r="O149" s="3">
        <v>2134</v>
      </c>
      <c r="P149" s="2" t="s">
        <v>332</v>
      </c>
      <c r="Q149" s="2" t="s">
        <v>309</v>
      </c>
      <c r="R149" s="2" t="s">
        <v>41</v>
      </c>
      <c r="S149" s="2" t="s">
        <v>42</v>
      </c>
      <c r="T149" s="2" t="s">
        <v>41</v>
      </c>
      <c r="U149" s="2" t="s">
        <v>42</v>
      </c>
      <c r="V149" s="2"/>
      <c r="W149" s="8" t="s">
        <v>213</v>
      </c>
      <c r="X149" s="2" t="s">
        <v>95</v>
      </c>
      <c r="Y149" s="46">
        <v>42</v>
      </c>
      <c r="Z149" s="2" t="s">
        <v>96</v>
      </c>
      <c r="AA149" s="3">
        <v>0</v>
      </c>
      <c r="AB149" s="45"/>
      <c r="AC149" s="3">
        <v>0</v>
      </c>
      <c r="AD149" s="45"/>
      <c r="AE149" s="45"/>
    </row>
    <row r="150" spans="1:31">
      <c r="A150" s="6" t="s">
        <v>357</v>
      </c>
      <c r="B150" s="48"/>
      <c r="C150" s="48"/>
      <c r="D150" s="6" t="s">
        <v>307</v>
      </c>
      <c r="E150" s="6" t="s">
        <v>308</v>
      </c>
      <c r="F150" s="6" t="s">
        <v>159</v>
      </c>
      <c r="G150" s="6" t="s">
        <v>234</v>
      </c>
      <c r="H150" s="6">
        <v>1</v>
      </c>
      <c r="I150" s="6"/>
      <c r="J150" s="6"/>
      <c r="K150" s="6" t="s">
        <v>358</v>
      </c>
      <c r="L150" s="6" t="s">
        <v>66</v>
      </c>
      <c r="M150" s="6" t="s">
        <v>35</v>
      </c>
      <c r="N150" s="7">
        <v>1828</v>
      </c>
      <c r="O150" s="7">
        <v>2134</v>
      </c>
      <c r="P150" s="6" t="s">
        <v>36</v>
      </c>
      <c r="Q150" s="6" t="s">
        <v>359</v>
      </c>
      <c r="R150" s="6" t="s">
        <v>360</v>
      </c>
      <c r="S150" s="6"/>
      <c r="T150" s="6" t="s">
        <v>360</v>
      </c>
      <c r="U150" s="6"/>
      <c r="V150" s="6"/>
      <c r="W150" s="48"/>
      <c r="X150" s="48"/>
      <c r="Y150" s="49">
        <v>1</v>
      </c>
      <c r="Z150" s="48"/>
      <c r="AA150" s="7">
        <v>0</v>
      </c>
      <c r="AB150" s="48"/>
      <c r="AC150" s="7">
        <v>0</v>
      </c>
      <c r="AD150" s="48"/>
      <c r="AE150" s="48"/>
    </row>
    <row r="151" spans="1:31">
      <c r="A151" s="2" t="s">
        <v>312</v>
      </c>
      <c r="B151" s="2" t="s">
        <v>54</v>
      </c>
      <c r="C151" s="2" t="s">
        <v>193</v>
      </c>
      <c r="D151" s="2" t="s">
        <v>307</v>
      </c>
      <c r="E151" s="2" t="s">
        <v>308</v>
      </c>
      <c r="F151" s="2" t="s">
        <v>194</v>
      </c>
      <c r="G151" s="2" t="s">
        <v>31</v>
      </c>
      <c r="H151" s="2">
        <v>1</v>
      </c>
      <c r="I151" s="2" t="s">
        <v>37</v>
      </c>
      <c r="J151" s="2" t="s">
        <v>236</v>
      </c>
      <c r="K151" s="2"/>
      <c r="L151" s="8" t="s">
        <v>66</v>
      </c>
      <c r="M151" s="2" t="s">
        <v>35</v>
      </c>
      <c r="N151" s="3">
        <v>1828</v>
      </c>
      <c r="O151" s="3">
        <v>2134</v>
      </c>
      <c r="P151" s="2" t="s">
        <v>332</v>
      </c>
      <c r="Q151" s="2" t="s">
        <v>309</v>
      </c>
      <c r="R151" s="2" t="s">
        <v>41</v>
      </c>
      <c r="S151" s="2" t="s">
        <v>42</v>
      </c>
      <c r="T151" s="2" t="s">
        <v>41</v>
      </c>
      <c r="U151" s="2" t="s">
        <v>42</v>
      </c>
      <c r="V151" s="2"/>
      <c r="W151" s="8" t="s">
        <v>213</v>
      </c>
      <c r="X151" s="2" t="s">
        <v>95</v>
      </c>
      <c r="Y151" s="46">
        <v>42</v>
      </c>
      <c r="Z151" s="2" t="s">
        <v>96</v>
      </c>
      <c r="AA151" s="3">
        <v>0</v>
      </c>
      <c r="AB151" s="45"/>
      <c r="AC151" s="3">
        <v>0</v>
      </c>
      <c r="AD151" s="45"/>
      <c r="AE151" s="45"/>
    </row>
    <row r="152" spans="1:31">
      <c r="A152" s="2" t="s">
        <v>313</v>
      </c>
      <c r="B152" s="45"/>
      <c r="C152" s="45"/>
      <c r="D152" s="2" t="s">
        <v>307</v>
      </c>
      <c r="E152" s="2" t="s">
        <v>308</v>
      </c>
      <c r="F152" s="2" t="s">
        <v>314</v>
      </c>
      <c r="G152" s="2" t="s">
        <v>234</v>
      </c>
      <c r="H152" s="2">
        <v>1</v>
      </c>
      <c r="I152" s="2" t="s">
        <v>315</v>
      </c>
      <c r="J152" s="2" t="s">
        <v>236</v>
      </c>
      <c r="K152" s="2"/>
      <c r="L152" s="2" t="s">
        <v>34</v>
      </c>
      <c r="M152" s="2" t="s">
        <v>35</v>
      </c>
      <c r="N152" s="3">
        <v>914</v>
      </c>
      <c r="O152" s="3">
        <v>2134</v>
      </c>
      <c r="P152" s="2" t="s">
        <v>332</v>
      </c>
      <c r="Q152" s="2" t="s">
        <v>290</v>
      </c>
      <c r="R152" s="2" t="s">
        <v>41</v>
      </c>
      <c r="S152" s="2" t="s">
        <v>42</v>
      </c>
      <c r="T152" s="2" t="s">
        <v>41</v>
      </c>
      <c r="U152" s="2" t="s">
        <v>42</v>
      </c>
      <c r="V152" s="2"/>
      <c r="W152" s="8" t="s">
        <v>213</v>
      </c>
      <c r="X152" s="45" t="s">
        <v>88</v>
      </c>
      <c r="Y152" s="46">
        <v>8</v>
      </c>
      <c r="Z152" s="2" t="s">
        <v>59</v>
      </c>
      <c r="AA152" s="3">
        <v>0</v>
      </c>
      <c r="AB152" s="45"/>
      <c r="AC152" s="3">
        <v>0</v>
      </c>
      <c r="AD152" s="45"/>
      <c r="AE152" s="45"/>
    </row>
    <row r="153" spans="1:31">
      <c r="A153" s="2" t="s">
        <v>316</v>
      </c>
      <c r="B153" s="2" t="s">
        <v>317</v>
      </c>
      <c r="C153" s="2" t="s">
        <v>318</v>
      </c>
      <c r="D153" s="2" t="s">
        <v>54</v>
      </c>
      <c r="E153" s="2" t="s">
        <v>193</v>
      </c>
      <c r="F153" s="2" t="s">
        <v>194</v>
      </c>
      <c r="G153" s="2" t="s">
        <v>31</v>
      </c>
      <c r="H153" s="2">
        <v>1</v>
      </c>
      <c r="I153" s="2" t="s">
        <v>32</v>
      </c>
      <c r="J153" s="2" t="s">
        <v>33</v>
      </c>
      <c r="K153" s="2"/>
      <c r="L153" s="2" t="s">
        <v>34</v>
      </c>
      <c r="M153" s="2" t="s">
        <v>35</v>
      </c>
      <c r="N153" s="3">
        <v>914</v>
      </c>
      <c r="O153" s="3">
        <v>2134</v>
      </c>
      <c r="P153" s="2" t="s">
        <v>332</v>
      </c>
      <c r="Q153" s="2" t="s">
        <v>244</v>
      </c>
      <c r="R153" s="2" t="s">
        <v>41</v>
      </c>
      <c r="S153" s="2" t="s">
        <v>42</v>
      </c>
      <c r="T153" s="2" t="s">
        <v>41</v>
      </c>
      <c r="U153" s="2" t="s">
        <v>42</v>
      </c>
      <c r="V153" s="2" t="s">
        <v>244</v>
      </c>
      <c r="W153" s="8" t="s">
        <v>213</v>
      </c>
      <c r="X153" s="2" t="s">
        <v>95</v>
      </c>
      <c r="Y153" s="46">
        <v>17</v>
      </c>
      <c r="Z153" s="2" t="s">
        <v>319</v>
      </c>
      <c r="AA153" s="3">
        <v>0</v>
      </c>
      <c r="AB153" s="3">
        <v>0</v>
      </c>
      <c r="AC153" s="3">
        <v>0</v>
      </c>
      <c r="AD153" s="45"/>
      <c r="AE153" s="45"/>
    </row>
    <row r="154" spans="1:31">
      <c r="A154" s="2" t="s">
        <v>320</v>
      </c>
      <c r="B154" s="2" t="s">
        <v>54</v>
      </c>
      <c r="C154" s="2" t="s">
        <v>55</v>
      </c>
      <c r="D154" s="2" t="s">
        <v>321</v>
      </c>
      <c r="E154" s="2" t="s">
        <v>322</v>
      </c>
      <c r="F154" s="2" t="s">
        <v>30</v>
      </c>
      <c r="G154" s="2" t="s">
        <v>31</v>
      </c>
      <c r="H154" s="2">
        <v>1</v>
      </c>
      <c r="I154" s="2" t="s">
        <v>37</v>
      </c>
      <c r="J154" s="2" t="s">
        <v>236</v>
      </c>
      <c r="K154" s="2"/>
      <c r="L154" s="8" t="s">
        <v>66</v>
      </c>
      <c r="M154" s="2" t="s">
        <v>35</v>
      </c>
      <c r="N154" s="3">
        <v>1828</v>
      </c>
      <c r="O154" s="3">
        <v>2134</v>
      </c>
      <c r="P154" s="2" t="s">
        <v>332</v>
      </c>
      <c r="Q154" s="2" t="s">
        <v>309</v>
      </c>
      <c r="R154" s="2" t="s">
        <v>41</v>
      </c>
      <c r="S154" s="2" t="s">
        <v>42</v>
      </c>
      <c r="T154" s="2" t="s">
        <v>41</v>
      </c>
      <c r="U154" s="2" t="s">
        <v>42</v>
      </c>
      <c r="V154" s="2"/>
      <c r="W154" s="8" t="s">
        <v>213</v>
      </c>
      <c r="X154" s="2" t="s">
        <v>95</v>
      </c>
      <c r="Y154" s="46">
        <v>16</v>
      </c>
      <c r="Z154" s="2" t="s">
        <v>96</v>
      </c>
      <c r="AA154" s="3">
        <v>0</v>
      </c>
      <c r="AB154" s="45"/>
      <c r="AC154" s="3">
        <v>0</v>
      </c>
      <c r="AD154" s="45"/>
      <c r="AE154" s="3">
        <v>0</v>
      </c>
    </row>
    <row r="155" spans="1:31">
      <c r="A155" s="2" t="s">
        <v>323</v>
      </c>
      <c r="B155" s="2" t="s">
        <v>321</v>
      </c>
      <c r="C155" s="2" t="s">
        <v>322</v>
      </c>
      <c r="D155" s="45"/>
      <c r="E155" s="45"/>
      <c r="F155" s="2" t="s">
        <v>30</v>
      </c>
      <c r="G155" s="2" t="s">
        <v>234</v>
      </c>
      <c r="H155" s="2">
        <v>1</v>
      </c>
      <c r="I155" s="2" t="s">
        <v>315</v>
      </c>
      <c r="J155" s="2" t="s">
        <v>236</v>
      </c>
      <c r="K155" s="2"/>
      <c r="L155" s="2" t="s">
        <v>66</v>
      </c>
      <c r="M155" s="2" t="s">
        <v>35</v>
      </c>
      <c r="N155" s="3">
        <v>1828</v>
      </c>
      <c r="O155" s="3">
        <v>2134</v>
      </c>
      <c r="P155" s="2" t="s">
        <v>332</v>
      </c>
      <c r="Q155" s="2" t="s">
        <v>258</v>
      </c>
      <c r="R155" s="2" t="s">
        <v>41</v>
      </c>
      <c r="S155" s="2" t="s">
        <v>42</v>
      </c>
      <c r="T155" s="2" t="s">
        <v>41</v>
      </c>
      <c r="U155" s="2" t="s">
        <v>42</v>
      </c>
      <c r="V155" s="2"/>
      <c r="W155" s="45"/>
      <c r="X155" s="45" t="s">
        <v>95</v>
      </c>
      <c r="Y155" s="46">
        <v>3</v>
      </c>
      <c r="Z155" s="45" t="s">
        <v>96</v>
      </c>
      <c r="AA155" s="3">
        <v>0</v>
      </c>
      <c r="AB155" s="45"/>
      <c r="AC155" s="45"/>
      <c r="AD155" s="3">
        <v>0</v>
      </c>
      <c r="AE155" s="45"/>
    </row>
    <row r="156" spans="1:31">
      <c r="A156" s="2" t="s">
        <v>324</v>
      </c>
      <c r="B156" s="2" t="s">
        <v>54</v>
      </c>
      <c r="C156" s="2" t="s">
        <v>157</v>
      </c>
      <c r="D156" s="2" t="s">
        <v>321</v>
      </c>
      <c r="E156" s="2" t="s">
        <v>322</v>
      </c>
      <c r="F156" s="2" t="s">
        <v>159</v>
      </c>
      <c r="G156" s="2" t="s">
        <v>31</v>
      </c>
      <c r="H156" s="2">
        <v>1</v>
      </c>
      <c r="I156" s="2" t="s">
        <v>37</v>
      </c>
      <c r="J156" s="2" t="s">
        <v>236</v>
      </c>
      <c r="K156" s="2"/>
      <c r="L156" s="8" t="s">
        <v>66</v>
      </c>
      <c r="M156" s="2" t="s">
        <v>35</v>
      </c>
      <c r="N156" s="3">
        <v>1828</v>
      </c>
      <c r="O156" s="3">
        <v>2134</v>
      </c>
      <c r="P156" s="2" t="s">
        <v>332</v>
      </c>
      <c r="Q156" s="2" t="s">
        <v>309</v>
      </c>
      <c r="R156" s="2" t="s">
        <v>41</v>
      </c>
      <c r="S156" s="2" t="s">
        <v>42</v>
      </c>
      <c r="T156" s="2" t="s">
        <v>41</v>
      </c>
      <c r="U156" s="2" t="s">
        <v>42</v>
      </c>
      <c r="V156" s="2"/>
      <c r="W156" s="8" t="s">
        <v>213</v>
      </c>
      <c r="X156" s="2" t="s">
        <v>95</v>
      </c>
      <c r="Y156" s="46">
        <v>16</v>
      </c>
      <c r="Z156" s="2" t="s">
        <v>96</v>
      </c>
      <c r="AA156" s="3">
        <v>0</v>
      </c>
      <c r="AB156" s="45"/>
      <c r="AC156" s="3">
        <v>0</v>
      </c>
      <c r="AD156" s="45"/>
      <c r="AE156" s="45"/>
    </row>
    <row r="157" spans="1:31">
      <c r="A157" s="2" t="s">
        <v>325</v>
      </c>
      <c r="B157" s="2" t="s">
        <v>54</v>
      </c>
      <c r="C157" s="2" t="s">
        <v>193</v>
      </c>
      <c r="D157" s="2" t="s">
        <v>321</v>
      </c>
      <c r="E157" s="2" t="s">
        <v>322</v>
      </c>
      <c r="F157" s="2" t="s">
        <v>194</v>
      </c>
      <c r="G157" s="2" t="s">
        <v>31</v>
      </c>
      <c r="H157" s="2">
        <v>1</v>
      </c>
      <c r="I157" s="2" t="s">
        <v>37</v>
      </c>
      <c r="J157" s="2" t="s">
        <v>236</v>
      </c>
      <c r="K157" s="2"/>
      <c r="L157" s="8" t="s">
        <v>66</v>
      </c>
      <c r="M157" s="2" t="s">
        <v>35</v>
      </c>
      <c r="N157" s="3">
        <v>1828</v>
      </c>
      <c r="O157" s="3">
        <v>2134</v>
      </c>
      <c r="P157" s="2" t="s">
        <v>332</v>
      </c>
      <c r="Q157" s="2" t="s">
        <v>309</v>
      </c>
      <c r="R157" s="2" t="s">
        <v>41</v>
      </c>
      <c r="S157" s="2" t="s">
        <v>42</v>
      </c>
      <c r="T157" s="2" t="s">
        <v>41</v>
      </c>
      <c r="U157" s="2" t="s">
        <v>42</v>
      </c>
      <c r="V157" s="2"/>
      <c r="W157" s="8" t="s">
        <v>213</v>
      </c>
      <c r="X157" s="2" t="s">
        <v>95</v>
      </c>
      <c r="Y157" s="46">
        <v>16</v>
      </c>
      <c r="Z157" s="2" t="s">
        <v>96</v>
      </c>
      <c r="AA157" s="3">
        <v>0</v>
      </c>
      <c r="AB157" s="45"/>
      <c r="AC157" s="3">
        <v>0</v>
      </c>
      <c r="AD157" s="45"/>
      <c r="AE157" s="45"/>
    </row>
  </sheetData>
  <autoFilter ref="A1:AE157" xr:uid="{00000000-0009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Q107"/>
  <sheetViews>
    <sheetView topLeftCell="A42" workbookViewId="0">
      <selection activeCell="C62" sqref="C62"/>
    </sheetView>
  </sheetViews>
  <sheetFormatPr defaultColWidth="9.6640625" defaultRowHeight="15"/>
  <cols>
    <col min="1" max="1" width="23.33203125" style="10" bestFit="1" customWidth="1"/>
    <col min="2" max="2" width="63.6640625" style="10" bestFit="1" customWidth="1"/>
    <col min="3" max="3" width="126.5" style="10" bestFit="1" customWidth="1"/>
    <col min="4" max="4" width="45.5" style="10" bestFit="1" customWidth="1"/>
    <col min="5" max="5" width="25.33203125" style="10" bestFit="1" customWidth="1"/>
    <col min="6" max="6" width="15.5" style="10" customWidth="1"/>
    <col min="7" max="7" width="8.33203125" style="10" bestFit="1" customWidth="1"/>
    <col min="8" max="8" width="6" style="12" hidden="1" customWidth="1"/>
    <col min="9" max="9" width="12" style="12" hidden="1" customWidth="1"/>
    <col min="10" max="10" width="10.5" style="12" hidden="1" customWidth="1"/>
    <col min="11" max="11" width="6" style="12" hidden="1" customWidth="1"/>
    <col min="12" max="12" width="12" style="12" hidden="1" customWidth="1"/>
    <col min="13" max="13" width="10.5" style="12" hidden="1" customWidth="1"/>
    <col min="14" max="14" width="6" style="12" hidden="1" customWidth="1"/>
    <col min="15" max="15" width="12" style="12" hidden="1" customWidth="1"/>
    <col min="16" max="16" width="10.5" style="12" hidden="1" customWidth="1"/>
    <col min="17" max="17" width="6" style="12" hidden="1" customWidth="1"/>
    <col min="18" max="18" width="12" style="12" hidden="1" customWidth="1"/>
    <col min="19" max="19" width="10.5" style="12" hidden="1" customWidth="1"/>
    <col min="20" max="20" width="6" style="12" hidden="1" customWidth="1"/>
    <col min="21" max="21" width="12" style="12" hidden="1" customWidth="1"/>
    <col min="22" max="22" width="10.5" style="12" hidden="1" customWidth="1"/>
    <col min="23" max="23" width="6" style="12" hidden="1" customWidth="1"/>
    <col min="24" max="24" width="12" style="12" hidden="1" customWidth="1"/>
    <col min="25" max="25" width="10.5" style="12" hidden="1" customWidth="1"/>
    <col min="26" max="26" width="6" style="12" hidden="1" customWidth="1"/>
    <col min="27" max="27" width="12" style="12" hidden="1" customWidth="1"/>
    <col min="28" max="28" width="10.5" style="12" hidden="1" customWidth="1"/>
    <col min="29" max="29" width="6" style="12" hidden="1" customWidth="1"/>
    <col min="30" max="30" width="12" style="12" hidden="1" customWidth="1"/>
    <col min="31" max="31" width="10.5" style="12" hidden="1" customWidth="1"/>
    <col min="32" max="32" width="6" style="12" hidden="1" customWidth="1"/>
    <col min="33" max="33" width="12" style="12" hidden="1" customWidth="1"/>
    <col min="34" max="34" width="10.5" style="12" hidden="1" customWidth="1"/>
    <col min="35" max="35" width="6" style="12" hidden="1" customWidth="1"/>
    <col min="36" max="36" width="12" style="12" hidden="1" customWidth="1"/>
    <col min="37" max="37" width="10.5" style="12" hidden="1" customWidth="1"/>
    <col min="38" max="38" width="6" style="12" bestFit="1" customWidth="1"/>
    <col min="39" max="39" width="12" style="12" bestFit="1" customWidth="1"/>
    <col min="40" max="40" width="10.5" style="12" bestFit="1" customWidth="1"/>
    <col min="41" max="41" width="6" style="12" bestFit="1" customWidth="1"/>
    <col min="42" max="42" width="12" style="12" bestFit="1" customWidth="1"/>
    <col min="43" max="43" width="10.5" style="12" bestFit="1" customWidth="1"/>
    <col min="44" max="44" width="6" style="12" bestFit="1" customWidth="1"/>
    <col min="45" max="45" width="12" style="12" bestFit="1" customWidth="1"/>
    <col min="46" max="46" width="10.5" style="12" bestFit="1" customWidth="1"/>
    <col min="47" max="47" width="6" style="12" bestFit="1" customWidth="1"/>
    <col min="48" max="48" width="12" style="12" bestFit="1" customWidth="1"/>
    <col min="49" max="49" width="10.5" style="12" bestFit="1" customWidth="1"/>
    <col min="50" max="50" width="6" style="12" hidden="1" customWidth="1"/>
    <col min="51" max="51" width="12" style="12" hidden="1" customWidth="1"/>
    <col min="52" max="52" width="10.5" style="12" hidden="1" customWidth="1"/>
    <col min="53" max="53" width="6" style="12" hidden="1" customWidth="1"/>
    <col min="54" max="54" width="12" style="12" hidden="1" customWidth="1"/>
    <col min="55" max="55" width="10.5" style="12" hidden="1" customWidth="1"/>
    <col min="56" max="56" width="6" style="12" bestFit="1" customWidth="1"/>
    <col min="57" max="57" width="12" style="12" bestFit="1" customWidth="1"/>
    <col min="58" max="58" width="10.5" style="12" bestFit="1" customWidth="1"/>
    <col min="59" max="59" width="6" style="12" bestFit="1" customWidth="1"/>
    <col min="60" max="60" width="12" style="12" bestFit="1" customWidth="1"/>
    <col min="61" max="61" width="10.5" style="12" bestFit="1" customWidth="1"/>
    <col min="62" max="62" width="6" style="12" hidden="1" customWidth="1"/>
    <col min="63" max="63" width="12" style="12" hidden="1" customWidth="1"/>
    <col min="64" max="64" width="10.5" style="12" hidden="1" customWidth="1"/>
    <col min="65" max="65" width="6" style="12" bestFit="1" customWidth="1"/>
    <col min="66" max="66" width="12" style="12" bestFit="1" customWidth="1"/>
    <col min="67" max="67" width="10.5" style="12" bestFit="1" customWidth="1"/>
    <col min="68" max="68" width="6" style="12" bestFit="1" customWidth="1"/>
    <col min="69" max="69" width="12" style="12" bestFit="1" customWidth="1"/>
    <col min="70" max="70" width="10.5" style="12" bestFit="1" customWidth="1"/>
    <col min="71" max="71" width="6" style="12" bestFit="1" customWidth="1"/>
    <col min="72" max="72" width="12" style="12" bestFit="1" customWidth="1"/>
    <col min="73" max="73" width="10.5" style="12" bestFit="1" customWidth="1"/>
    <col min="74" max="74" width="6" style="12" hidden="1" customWidth="1"/>
    <col min="75" max="75" width="12" style="12" hidden="1" customWidth="1"/>
    <col min="76" max="76" width="10.5" style="12" hidden="1" customWidth="1"/>
    <col min="77" max="77" width="6" style="12" bestFit="1" customWidth="1"/>
    <col min="78" max="78" width="12" style="12" bestFit="1" customWidth="1"/>
    <col min="79" max="79" width="10.5" style="12" bestFit="1" customWidth="1"/>
    <col min="80" max="80" width="6" style="12" bestFit="1" customWidth="1"/>
    <col min="81" max="81" width="12" style="12" bestFit="1" customWidth="1"/>
    <col min="82" max="82" width="10.5" style="12" bestFit="1" customWidth="1"/>
    <col min="83" max="83" width="6" style="12" bestFit="1" customWidth="1"/>
    <col min="84" max="84" width="12" style="12" bestFit="1" customWidth="1"/>
    <col min="85" max="85" width="10.5" style="12" bestFit="1" customWidth="1"/>
    <col min="86" max="86" width="6" style="12" bestFit="1" customWidth="1"/>
    <col min="87" max="87" width="12" style="12" bestFit="1" customWidth="1"/>
    <col min="88" max="88" width="10.5" style="12" bestFit="1" customWidth="1"/>
    <col min="89" max="89" width="6" style="12" bestFit="1" customWidth="1"/>
    <col min="90" max="90" width="12" style="12" bestFit="1" customWidth="1"/>
    <col min="91" max="91" width="10.5" style="12" bestFit="1" customWidth="1"/>
    <col min="92" max="92" width="6" style="12" bestFit="1" customWidth="1"/>
    <col min="93" max="93" width="12" style="12" bestFit="1" customWidth="1"/>
    <col min="94" max="94" width="10.5" style="12" bestFit="1" customWidth="1"/>
    <col min="95" max="95" width="6" style="12" bestFit="1" customWidth="1"/>
    <col min="96" max="96" width="12" style="12" bestFit="1" customWidth="1"/>
    <col min="97" max="97" width="10.5" style="12" bestFit="1" customWidth="1"/>
    <col min="98" max="98" width="6" style="12" bestFit="1" customWidth="1"/>
    <col min="99" max="99" width="12" style="12" bestFit="1" customWidth="1"/>
    <col min="100" max="100" width="10.5" style="12" bestFit="1" customWidth="1"/>
    <col min="101" max="101" width="6" style="12" bestFit="1" customWidth="1"/>
    <col min="102" max="102" width="12" style="12" bestFit="1" customWidth="1"/>
    <col min="103" max="103" width="10.5" style="12" bestFit="1" customWidth="1"/>
    <col min="104" max="104" width="6" style="12" bestFit="1" customWidth="1"/>
    <col min="105" max="105" width="12" style="12" bestFit="1" customWidth="1"/>
    <col min="106" max="106" width="10.5" style="12" bestFit="1" customWidth="1"/>
    <col min="107" max="107" width="6" style="12" bestFit="1" customWidth="1"/>
    <col min="108" max="108" width="12" style="12" bestFit="1" customWidth="1"/>
    <col min="109" max="109" width="10.5" style="12" bestFit="1" customWidth="1"/>
    <col min="110" max="110" width="6" style="12" hidden="1" customWidth="1"/>
    <col min="111" max="111" width="12" style="12" hidden="1" customWidth="1"/>
    <col min="112" max="112" width="10.5" style="12" hidden="1" customWidth="1"/>
    <col min="113" max="113" width="6" style="12" bestFit="1" customWidth="1"/>
    <col min="114" max="114" width="12" style="12" bestFit="1" customWidth="1"/>
    <col min="115" max="115" width="10.5" style="12" bestFit="1" customWidth="1"/>
    <col min="116" max="116" width="6" style="12" bestFit="1" customWidth="1"/>
    <col min="117" max="117" width="12" style="12" bestFit="1" customWidth="1"/>
    <col min="118" max="118" width="10.5" style="12" bestFit="1" customWidth="1"/>
    <col min="119" max="119" width="6" style="12" bestFit="1" customWidth="1"/>
    <col min="120" max="120" width="12" style="12" bestFit="1" customWidth="1"/>
    <col min="121" max="121" width="10.5" style="12" bestFit="1" customWidth="1"/>
    <col min="122" max="122" width="6" style="12" bestFit="1" customWidth="1"/>
    <col min="123" max="123" width="12" style="12" bestFit="1" customWidth="1"/>
    <col min="124" max="124" width="10.5" style="12" bestFit="1" customWidth="1"/>
    <col min="125" max="125" width="6" style="12" hidden="1" customWidth="1"/>
    <col min="126" max="126" width="12" style="12" hidden="1" customWidth="1"/>
    <col min="127" max="127" width="10.5" style="12" hidden="1" customWidth="1"/>
    <col min="128" max="128" width="6" style="12" hidden="1" customWidth="1"/>
    <col min="129" max="129" width="12" style="12" hidden="1" customWidth="1"/>
    <col min="130" max="130" width="10.5" style="12" hidden="1" customWidth="1"/>
    <col min="131" max="131" width="6" style="12" hidden="1" customWidth="1"/>
    <col min="132" max="132" width="12" style="12" hidden="1" customWidth="1"/>
    <col min="133" max="133" width="10.5" style="12" hidden="1" customWidth="1"/>
    <col min="134" max="134" width="6" style="12" hidden="1" customWidth="1"/>
    <col min="135" max="135" width="12" style="12" hidden="1" customWidth="1"/>
    <col min="136" max="136" width="10.5" style="12" hidden="1" customWidth="1"/>
    <col min="137" max="137" width="6" style="12" bestFit="1" customWidth="1"/>
    <col min="138" max="138" width="12" style="12" bestFit="1" customWidth="1"/>
    <col min="139" max="139" width="10.5" style="12" bestFit="1" customWidth="1"/>
    <col min="140" max="140" width="6" style="12" hidden="1" customWidth="1"/>
    <col min="141" max="141" width="12" style="12" hidden="1" customWidth="1"/>
    <col min="142" max="142" width="10.5" style="12" hidden="1" customWidth="1"/>
    <col min="143" max="143" width="6" style="12" hidden="1" customWidth="1"/>
    <col min="144" max="144" width="12" style="12" hidden="1" customWidth="1"/>
    <col min="145" max="145" width="10.5" style="12" hidden="1" customWidth="1"/>
    <col min="146" max="147" width="9.6640625" style="10" customWidth="1"/>
    <col min="148" max="16384" width="9.6640625" style="10"/>
  </cols>
  <sheetData>
    <row r="1" spans="1:145" ht="24">
      <c r="A1" s="9" t="s">
        <v>361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</row>
    <row r="2" spans="1:145" ht="15.75" thickBot="1">
      <c r="A2" s="11"/>
      <c r="B2" s="11"/>
      <c r="C2" s="11"/>
      <c r="D2" s="11"/>
      <c r="F2" s="1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</row>
    <row r="3" spans="1:145" ht="18.75">
      <c r="A3" s="53" t="s">
        <v>362</v>
      </c>
      <c r="B3" s="54"/>
      <c r="C3" s="54"/>
      <c r="D3" s="54"/>
      <c r="E3" s="54"/>
      <c r="F3" s="54"/>
      <c r="G3" s="55"/>
    </row>
    <row r="4" spans="1:145">
      <c r="A4" s="56" t="s">
        <v>363</v>
      </c>
      <c r="B4" s="56" t="s">
        <v>364</v>
      </c>
      <c r="C4" s="56" t="s">
        <v>365</v>
      </c>
      <c r="D4" s="56" t="s">
        <v>366</v>
      </c>
      <c r="E4" s="56" t="s">
        <v>367</v>
      </c>
      <c r="F4" s="56" t="s">
        <v>368</v>
      </c>
      <c r="G4" s="57" t="s">
        <v>369</v>
      </c>
      <c r="H4" s="59" t="str">
        <f>A61</f>
        <v>-</v>
      </c>
      <c r="I4" s="59"/>
      <c r="J4" s="60"/>
      <c r="K4" s="58" t="str">
        <f>A62</f>
        <v>-</v>
      </c>
      <c r="L4" s="59"/>
      <c r="M4" s="60"/>
      <c r="N4" s="58" t="str">
        <f>A63</f>
        <v>-</v>
      </c>
      <c r="O4" s="59"/>
      <c r="P4" s="60"/>
      <c r="Q4" s="58" t="str">
        <f>A64</f>
        <v>-</v>
      </c>
      <c r="R4" s="59"/>
      <c r="S4" s="60"/>
      <c r="T4" s="58" t="str">
        <f>A65</f>
        <v>-</v>
      </c>
      <c r="U4" s="59"/>
      <c r="V4" s="60"/>
      <c r="W4" s="58" t="str">
        <f>A66</f>
        <v>-</v>
      </c>
      <c r="X4" s="59"/>
      <c r="Y4" s="60"/>
      <c r="Z4" s="58" t="str">
        <f>A67</f>
        <v>-</v>
      </c>
      <c r="AA4" s="59"/>
      <c r="AB4" s="60"/>
      <c r="AC4" s="58" t="str">
        <f>A68</f>
        <v>-</v>
      </c>
      <c r="AD4" s="59"/>
      <c r="AE4" s="60"/>
      <c r="AF4" s="58" t="str">
        <f>A69</f>
        <v>-</v>
      </c>
      <c r="AG4" s="59"/>
      <c r="AH4" s="60"/>
      <c r="AI4" s="58" t="str">
        <f>A70</f>
        <v>-</v>
      </c>
      <c r="AJ4" s="59"/>
      <c r="AK4" s="60"/>
      <c r="AL4" s="58">
        <f>A71</f>
        <v>12</v>
      </c>
      <c r="AM4" s="59"/>
      <c r="AN4" s="60"/>
      <c r="AO4" s="58">
        <f>A72</f>
        <v>13</v>
      </c>
      <c r="AP4" s="59"/>
      <c r="AQ4" s="60"/>
      <c r="AR4" s="58">
        <f>A73</f>
        <v>14</v>
      </c>
      <c r="AS4" s="59"/>
      <c r="AT4" s="60"/>
      <c r="AU4" s="58">
        <f>A74</f>
        <v>15</v>
      </c>
      <c r="AV4" s="59"/>
      <c r="AW4" s="60"/>
      <c r="AX4" s="58" t="str">
        <f>A75</f>
        <v>-</v>
      </c>
      <c r="AY4" s="59"/>
      <c r="AZ4" s="60"/>
      <c r="BA4" s="58" t="str">
        <f>A76</f>
        <v>-</v>
      </c>
      <c r="BB4" s="59"/>
      <c r="BC4" s="60"/>
      <c r="BD4" s="58">
        <f>A77</f>
        <v>18</v>
      </c>
      <c r="BE4" s="59"/>
      <c r="BF4" s="60"/>
      <c r="BG4" s="58">
        <f>A78</f>
        <v>19</v>
      </c>
      <c r="BH4" s="59"/>
      <c r="BI4" s="60"/>
      <c r="BJ4" s="58" t="str">
        <f>A79</f>
        <v>-</v>
      </c>
      <c r="BK4" s="59"/>
      <c r="BL4" s="60"/>
      <c r="BM4" s="58">
        <f>A80</f>
        <v>21</v>
      </c>
      <c r="BN4" s="59"/>
      <c r="BO4" s="60"/>
      <c r="BP4" s="58">
        <f>A81</f>
        <v>22</v>
      </c>
      <c r="BQ4" s="59"/>
      <c r="BR4" s="60"/>
      <c r="BS4" s="58">
        <f>A82</f>
        <v>23</v>
      </c>
      <c r="BT4" s="59"/>
      <c r="BU4" s="60"/>
      <c r="BV4" s="58" t="str">
        <f>A83</f>
        <v>-</v>
      </c>
      <c r="BW4" s="59"/>
      <c r="BX4" s="60"/>
      <c r="BY4" s="58">
        <f>A84</f>
        <v>24</v>
      </c>
      <c r="BZ4" s="59"/>
      <c r="CA4" s="60"/>
      <c r="CB4" s="58">
        <f>A85</f>
        <v>25</v>
      </c>
      <c r="CC4" s="59"/>
      <c r="CD4" s="60"/>
      <c r="CE4" s="58">
        <f>A86</f>
        <v>26</v>
      </c>
      <c r="CF4" s="59"/>
      <c r="CG4" s="60"/>
      <c r="CH4" s="58">
        <f>A87</f>
        <v>27</v>
      </c>
      <c r="CI4" s="59"/>
      <c r="CJ4" s="60"/>
      <c r="CK4" s="58">
        <f>A88</f>
        <v>28</v>
      </c>
      <c r="CL4" s="59"/>
      <c r="CM4" s="60"/>
      <c r="CN4" s="58">
        <f>A89</f>
        <v>29</v>
      </c>
      <c r="CO4" s="59"/>
      <c r="CP4" s="60"/>
      <c r="CQ4" s="58">
        <f>A90</f>
        <v>30</v>
      </c>
      <c r="CR4" s="59"/>
      <c r="CS4" s="60"/>
      <c r="CT4" s="58">
        <f>A91</f>
        <v>31</v>
      </c>
      <c r="CU4" s="59"/>
      <c r="CV4" s="60"/>
      <c r="CW4" s="58">
        <f>A92</f>
        <v>32</v>
      </c>
      <c r="CX4" s="59"/>
      <c r="CY4" s="60"/>
      <c r="CZ4" s="58">
        <f>A93</f>
        <v>33</v>
      </c>
      <c r="DA4" s="59"/>
      <c r="DB4" s="60"/>
      <c r="DC4" s="58">
        <f>A94</f>
        <v>34</v>
      </c>
      <c r="DD4" s="59"/>
      <c r="DE4" s="60"/>
      <c r="DF4" s="58" t="str">
        <f>A95</f>
        <v>-</v>
      </c>
      <c r="DG4" s="59"/>
      <c r="DH4" s="60"/>
      <c r="DI4" s="58">
        <f>A96</f>
        <v>36</v>
      </c>
      <c r="DJ4" s="59"/>
      <c r="DK4" s="60"/>
      <c r="DL4" s="58">
        <f>A97</f>
        <v>37</v>
      </c>
      <c r="DM4" s="59"/>
      <c r="DN4" s="60"/>
      <c r="DO4" s="58">
        <f>A98</f>
        <v>38</v>
      </c>
      <c r="DP4" s="59"/>
      <c r="DQ4" s="60"/>
      <c r="DR4" s="58">
        <f>A99</f>
        <v>39</v>
      </c>
      <c r="DS4" s="59"/>
      <c r="DT4" s="60"/>
      <c r="DU4" s="58" t="str">
        <f>A100</f>
        <v>-</v>
      </c>
      <c r="DV4" s="59"/>
      <c r="DW4" s="60"/>
      <c r="DX4" s="58" t="str">
        <f>A101</f>
        <v>-</v>
      </c>
      <c r="DY4" s="59"/>
      <c r="DZ4" s="60"/>
      <c r="EA4" s="58" t="str">
        <f>A102</f>
        <v>-</v>
      </c>
      <c r="EB4" s="59"/>
      <c r="EC4" s="60"/>
      <c r="ED4" s="58" t="str">
        <f>A103</f>
        <v>-</v>
      </c>
      <c r="EE4" s="59"/>
      <c r="EF4" s="60"/>
      <c r="EG4" s="58">
        <f>A104</f>
        <v>44</v>
      </c>
      <c r="EH4" s="59"/>
      <c r="EI4" s="60"/>
      <c r="EJ4" s="58">
        <f>A105</f>
        <v>0</v>
      </c>
      <c r="EK4" s="59"/>
      <c r="EL4" s="60"/>
      <c r="EM4" s="58">
        <f>A106</f>
        <v>0</v>
      </c>
      <c r="EN4" s="59"/>
      <c r="EO4" s="60"/>
    </row>
    <row r="5" spans="1:145">
      <c r="A5" s="56"/>
      <c r="B5" s="56"/>
      <c r="C5" s="56"/>
      <c r="D5" s="56"/>
      <c r="E5" s="56"/>
      <c r="F5" s="56"/>
      <c r="G5" s="57"/>
      <c r="H5" s="13" t="s">
        <v>370</v>
      </c>
      <c r="I5" s="14" t="s">
        <v>371</v>
      </c>
      <c r="J5" s="14" t="s">
        <v>372</v>
      </c>
      <c r="K5" s="14" t="s">
        <v>370</v>
      </c>
      <c r="L5" s="14" t="s">
        <v>371</v>
      </c>
      <c r="M5" s="14" t="s">
        <v>372</v>
      </c>
      <c r="N5" s="14" t="s">
        <v>370</v>
      </c>
      <c r="O5" s="14" t="s">
        <v>371</v>
      </c>
      <c r="P5" s="14" t="s">
        <v>372</v>
      </c>
      <c r="Q5" s="14" t="s">
        <v>370</v>
      </c>
      <c r="R5" s="14" t="s">
        <v>371</v>
      </c>
      <c r="S5" s="14" t="s">
        <v>372</v>
      </c>
      <c r="T5" s="14" t="s">
        <v>370</v>
      </c>
      <c r="U5" s="14" t="s">
        <v>371</v>
      </c>
      <c r="V5" s="14" t="s">
        <v>372</v>
      </c>
      <c r="W5" s="14" t="s">
        <v>370</v>
      </c>
      <c r="X5" s="14" t="s">
        <v>371</v>
      </c>
      <c r="Y5" s="14" t="s">
        <v>372</v>
      </c>
      <c r="Z5" s="14" t="s">
        <v>370</v>
      </c>
      <c r="AA5" s="14" t="s">
        <v>371</v>
      </c>
      <c r="AB5" s="14" t="s">
        <v>372</v>
      </c>
      <c r="AC5" s="14" t="s">
        <v>370</v>
      </c>
      <c r="AD5" s="14" t="s">
        <v>371</v>
      </c>
      <c r="AE5" s="14" t="s">
        <v>372</v>
      </c>
      <c r="AF5" s="14" t="s">
        <v>370</v>
      </c>
      <c r="AG5" s="14" t="s">
        <v>371</v>
      </c>
      <c r="AH5" s="14" t="s">
        <v>372</v>
      </c>
      <c r="AI5" s="14" t="s">
        <v>370</v>
      </c>
      <c r="AJ5" s="14" t="s">
        <v>371</v>
      </c>
      <c r="AK5" s="14" t="s">
        <v>372</v>
      </c>
      <c r="AL5" s="14" t="s">
        <v>370</v>
      </c>
      <c r="AM5" s="14" t="s">
        <v>371</v>
      </c>
      <c r="AN5" s="14" t="s">
        <v>372</v>
      </c>
      <c r="AO5" s="14" t="s">
        <v>370</v>
      </c>
      <c r="AP5" s="14" t="s">
        <v>371</v>
      </c>
      <c r="AQ5" s="14" t="s">
        <v>372</v>
      </c>
      <c r="AR5" s="14" t="s">
        <v>370</v>
      </c>
      <c r="AS5" s="14" t="s">
        <v>371</v>
      </c>
      <c r="AT5" s="14" t="s">
        <v>372</v>
      </c>
      <c r="AU5" s="14" t="s">
        <v>370</v>
      </c>
      <c r="AV5" s="14" t="s">
        <v>371</v>
      </c>
      <c r="AW5" s="14" t="s">
        <v>372</v>
      </c>
      <c r="AX5" s="14" t="s">
        <v>370</v>
      </c>
      <c r="AY5" s="14" t="s">
        <v>371</v>
      </c>
      <c r="AZ5" s="14" t="s">
        <v>372</v>
      </c>
      <c r="BA5" s="14" t="s">
        <v>370</v>
      </c>
      <c r="BB5" s="14" t="s">
        <v>371</v>
      </c>
      <c r="BC5" s="14" t="s">
        <v>372</v>
      </c>
      <c r="BD5" s="14" t="s">
        <v>370</v>
      </c>
      <c r="BE5" s="14" t="s">
        <v>371</v>
      </c>
      <c r="BF5" s="14" t="s">
        <v>372</v>
      </c>
      <c r="BG5" s="14" t="s">
        <v>370</v>
      </c>
      <c r="BH5" s="14" t="s">
        <v>371</v>
      </c>
      <c r="BI5" s="14" t="s">
        <v>372</v>
      </c>
      <c r="BJ5" s="14" t="s">
        <v>370</v>
      </c>
      <c r="BK5" s="14" t="s">
        <v>371</v>
      </c>
      <c r="BL5" s="14" t="s">
        <v>372</v>
      </c>
      <c r="BM5" s="14" t="s">
        <v>370</v>
      </c>
      <c r="BN5" s="14" t="s">
        <v>371</v>
      </c>
      <c r="BO5" s="14" t="s">
        <v>372</v>
      </c>
      <c r="BP5" s="14" t="s">
        <v>370</v>
      </c>
      <c r="BQ5" s="14" t="s">
        <v>371</v>
      </c>
      <c r="BR5" s="14" t="s">
        <v>372</v>
      </c>
      <c r="BS5" s="14" t="s">
        <v>370</v>
      </c>
      <c r="BT5" s="14" t="s">
        <v>371</v>
      </c>
      <c r="BU5" s="14" t="s">
        <v>372</v>
      </c>
      <c r="BV5" s="14" t="s">
        <v>370</v>
      </c>
      <c r="BW5" s="14" t="s">
        <v>371</v>
      </c>
      <c r="BX5" s="14" t="s">
        <v>372</v>
      </c>
      <c r="BY5" s="14" t="s">
        <v>370</v>
      </c>
      <c r="BZ5" s="14" t="s">
        <v>371</v>
      </c>
      <c r="CA5" s="14" t="s">
        <v>372</v>
      </c>
      <c r="CB5" s="14" t="s">
        <v>370</v>
      </c>
      <c r="CC5" s="14" t="s">
        <v>371</v>
      </c>
      <c r="CD5" s="14" t="s">
        <v>372</v>
      </c>
      <c r="CE5" s="14" t="s">
        <v>370</v>
      </c>
      <c r="CF5" s="14" t="s">
        <v>371</v>
      </c>
      <c r="CG5" s="14" t="s">
        <v>372</v>
      </c>
      <c r="CH5" s="14" t="s">
        <v>370</v>
      </c>
      <c r="CI5" s="14" t="s">
        <v>371</v>
      </c>
      <c r="CJ5" s="14" t="s">
        <v>372</v>
      </c>
      <c r="CK5" s="14" t="s">
        <v>370</v>
      </c>
      <c r="CL5" s="14" t="s">
        <v>371</v>
      </c>
      <c r="CM5" s="14" t="s">
        <v>372</v>
      </c>
      <c r="CN5" s="14" t="s">
        <v>370</v>
      </c>
      <c r="CO5" s="14" t="s">
        <v>371</v>
      </c>
      <c r="CP5" s="14" t="s">
        <v>372</v>
      </c>
      <c r="CQ5" s="14" t="s">
        <v>370</v>
      </c>
      <c r="CR5" s="14" t="s">
        <v>371</v>
      </c>
      <c r="CS5" s="14" t="s">
        <v>372</v>
      </c>
      <c r="CT5" s="14" t="s">
        <v>370</v>
      </c>
      <c r="CU5" s="14" t="s">
        <v>371</v>
      </c>
      <c r="CV5" s="14" t="s">
        <v>372</v>
      </c>
      <c r="CW5" s="14" t="s">
        <v>370</v>
      </c>
      <c r="CX5" s="14" t="s">
        <v>371</v>
      </c>
      <c r="CY5" s="14" t="s">
        <v>372</v>
      </c>
      <c r="CZ5" s="14" t="s">
        <v>370</v>
      </c>
      <c r="DA5" s="14" t="s">
        <v>371</v>
      </c>
      <c r="DB5" s="14" t="s">
        <v>372</v>
      </c>
      <c r="DC5" s="14" t="s">
        <v>370</v>
      </c>
      <c r="DD5" s="14" t="s">
        <v>371</v>
      </c>
      <c r="DE5" s="14" t="s">
        <v>372</v>
      </c>
      <c r="DF5" s="14" t="s">
        <v>370</v>
      </c>
      <c r="DG5" s="14" t="s">
        <v>371</v>
      </c>
      <c r="DH5" s="14" t="s">
        <v>372</v>
      </c>
      <c r="DI5" s="14" t="s">
        <v>370</v>
      </c>
      <c r="DJ5" s="14" t="s">
        <v>371</v>
      </c>
      <c r="DK5" s="14" t="s">
        <v>372</v>
      </c>
      <c r="DL5" s="14" t="s">
        <v>370</v>
      </c>
      <c r="DM5" s="14" t="s">
        <v>371</v>
      </c>
      <c r="DN5" s="14" t="s">
        <v>372</v>
      </c>
      <c r="DO5" s="14" t="s">
        <v>370</v>
      </c>
      <c r="DP5" s="14" t="s">
        <v>371</v>
      </c>
      <c r="DQ5" s="14" t="s">
        <v>372</v>
      </c>
      <c r="DR5" s="14" t="s">
        <v>370</v>
      </c>
      <c r="DS5" s="14" t="s">
        <v>371</v>
      </c>
      <c r="DT5" s="14" t="s">
        <v>372</v>
      </c>
      <c r="DU5" s="14" t="s">
        <v>370</v>
      </c>
      <c r="DV5" s="14" t="s">
        <v>371</v>
      </c>
      <c r="DW5" s="14" t="s">
        <v>372</v>
      </c>
      <c r="DX5" s="14" t="s">
        <v>370</v>
      </c>
      <c r="DY5" s="14" t="s">
        <v>371</v>
      </c>
      <c r="DZ5" s="14" t="s">
        <v>372</v>
      </c>
      <c r="EA5" s="14" t="s">
        <v>370</v>
      </c>
      <c r="EB5" s="14" t="s">
        <v>371</v>
      </c>
      <c r="EC5" s="14" t="s">
        <v>372</v>
      </c>
      <c r="ED5" s="14" t="s">
        <v>370</v>
      </c>
      <c r="EE5" s="14" t="s">
        <v>371</v>
      </c>
      <c r="EF5" s="14" t="s">
        <v>372</v>
      </c>
      <c r="EG5" s="14" t="s">
        <v>370</v>
      </c>
      <c r="EH5" s="14" t="s">
        <v>371</v>
      </c>
      <c r="EI5" s="14" t="s">
        <v>372</v>
      </c>
      <c r="EJ5" s="14" t="s">
        <v>370</v>
      </c>
      <c r="EK5" s="14" t="s">
        <v>371</v>
      </c>
      <c r="EL5" s="14" t="s">
        <v>372</v>
      </c>
      <c r="EM5" s="14" t="s">
        <v>370</v>
      </c>
      <c r="EN5" s="14" t="s">
        <v>371</v>
      </c>
      <c r="EO5" s="14" t="s">
        <v>372</v>
      </c>
    </row>
    <row r="6" spans="1:145">
      <c r="A6" s="15">
        <v>5</v>
      </c>
      <c r="B6" s="17" t="s">
        <v>373</v>
      </c>
      <c r="C6" s="17" t="s">
        <v>374</v>
      </c>
      <c r="D6" s="18" t="s">
        <v>375</v>
      </c>
      <c r="E6" s="18" t="s">
        <v>376</v>
      </c>
      <c r="F6" s="19">
        <f t="shared" ref="F6:F35" si="0">SUM(I6,L6,O6,BN6,R6,U6,X6,AA6,BZ6,CC6,CF6,AD6,AG6,AJ6,AM6,AP6,AS6,AV6,AY6,BB6,BE6,BH6,BK6,BQ6,BT6,BW6,CI6,CL6,CO6,CR6,CU6,CX6,DA6,DD6,DG6,DJ6,DM6,DP6,DS6,DV6,DY6,EB6,EE6,EH6,EK6,EN6)</f>
        <v>4</v>
      </c>
      <c r="G6" s="20"/>
      <c r="H6" s="21">
        <v>2</v>
      </c>
      <c r="I6" s="22">
        <f t="shared" ref="I6:I37" si="1">H6*$B$61</f>
        <v>0</v>
      </c>
      <c r="J6" s="22">
        <f t="shared" ref="J6:J8" si="2">$G6*H6</f>
        <v>0</v>
      </c>
      <c r="K6" s="22">
        <v>2</v>
      </c>
      <c r="L6" s="22">
        <f t="shared" ref="L6:L37" si="3">K6*$B$62</f>
        <v>0</v>
      </c>
      <c r="M6" s="22">
        <f t="shared" ref="M6:M8" si="4">$G6*K6</f>
        <v>0</v>
      </c>
      <c r="N6" s="22">
        <v>1</v>
      </c>
      <c r="O6" s="22">
        <f t="shared" ref="O6:O37" si="5">N6*$B$63</f>
        <v>0</v>
      </c>
      <c r="P6" s="22">
        <f t="shared" ref="P6:P8" si="6">$G6*N6</f>
        <v>0</v>
      </c>
      <c r="Q6" s="22"/>
      <c r="R6" s="22">
        <f t="shared" ref="R6:R37" si="7">Q6*$B$64</f>
        <v>0</v>
      </c>
      <c r="S6" s="22">
        <f t="shared" ref="S6:S8" si="8">$G6*Q6</f>
        <v>0</v>
      </c>
      <c r="T6" s="22">
        <v>2</v>
      </c>
      <c r="U6" s="22">
        <f t="shared" ref="U6:U37" si="9">T6*$B$65</f>
        <v>0</v>
      </c>
      <c r="V6" s="22">
        <f t="shared" ref="V6:V8" si="10">$G6*T6</f>
        <v>0</v>
      </c>
      <c r="W6" s="22">
        <v>1</v>
      </c>
      <c r="X6" s="22">
        <f t="shared" ref="X6:X37" si="11">W6*$B$66</f>
        <v>0</v>
      </c>
      <c r="Y6" s="22">
        <f t="shared" ref="Y6:Y8" si="12">$G6*W6</f>
        <v>0</v>
      </c>
      <c r="Z6" s="22"/>
      <c r="AA6" s="22">
        <f t="shared" ref="AA6:AA37" si="13">Z6*$B$67</f>
        <v>0</v>
      </c>
      <c r="AB6" s="22">
        <f t="shared" ref="AB6:AB8" si="14">$G6*Z6</f>
        <v>0</v>
      </c>
      <c r="AC6" s="22"/>
      <c r="AD6" s="22">
        <f t="shared" ref="AD6:AD37" si="15">AC6*$B$68</f>
        <v>0</v>
      </c>
      <c r="AE6" s="22">
        <f t="shared" ref="AE6:AE8" si="16">$G6*AC6</f>
        <v>0</v>
      </c>
      <c r="AF6" s="22"/>
      <c r="AG6" s="22">
        <f t="shared" ref="AG6:AG37" si="17">AF6*$B$69</f>
        <v>0</v>
      </c>
      <c r="AH6" s="22">
        <f t="shared" ref="AH6:AH8" si="18">$G6*AF6</f>
        <v>0</v>
      </c>
      <c r="AI6" s="22"/>
      <c r="AJ6" s="22">
        <f t="shared" ref="AJ6:AJ37" si="19">AI6*$B$70</f>
        <v>0</v>
      </c>
      <c r="AK6" s="22">
        <f t="shared" ref="AK6:AK8" si="20">$G6*AI6</f>
        <v>0</v>
      </c>
      <c r="AL6" s="22">
        <v>2</v>
      </c>
      <c r="AM6" s="22">
        <f t="shared" ref="AM6:AM37" si="21">AL6*$B$71</f>
        <v>2</v>
      </c>
      <c r="AN6" s="22">
        <f t="shared" ref="AN6:AN8" si="22">$G6*AL6</f>
        <v>0</v>
      </c>
      <c r="AO6" s="22"/>
      <c r="AP6" s="22">
        <f t="shared" ref="AP6:AP37" si="23">AO6*$B$72</f>
        <v>0</v>
      </c>
      <c r="AQ6" s="22">
        <f t="shared" ref="AQ6:AQ8" si="24">$G6*AO6</f>
        <v>0</v>
      </c>
      <c r="AR6" s="22"/>
      <c r="AS6" s="22">
        <f t="shared" ref="AS6:AS37" si="25">AR6*$B$73</f>
        <v>0</v>
      </c>
      <c r="AT6" s="22">
        <f t="shared" ref="AT6:AT8" si="26">$G6*AR6</f>
        <v>0</v>
      </c>
      <c r="AU6" s="22"/>
      <c r="AV6" s="22">
        <f t="shared" ref="AV6:AV37" si="27">AU6*$B$74</f>
        <v>0</v>
      </c>
      <c r="AW6" s="22">
        <f t="shared" ref="AW6:AW8" si="28">$G6*AU6</f>
        <v>0</v>
      </c>
      <c r="AX6" s="22"/>
      <c r="AY6" s="22">
        <f t="shared" ref="AY6:AY37" si="29">AX6*$B$75</f>
        <v>0</v>
      </c>
      <c r="AZ6" s="22">
        <f t="shared" ref="AZ6:AZ8" si="30">$G6*AX6</f>
        <v>0</v>
      </c>
      <c r="BA6" s="22"/>
      <c r="BB6" s="22">
        <f t="shared" ref="BB6:BB37" si="31">BA6*$B$76</f>
        <v>0</v>
      </c>
      <c r="BC6" s="22">
        <f t="shared" ref="BC6:BC8" si="32">$G6*BA6</f>
        <v>0</v>
      </c>
      <c r="BD6" s="22"/>
      <c r="BE6" s="22">
        <f t="shared" ref="BE6:BE37" si="33">BD6*$B$77</f>
        <v>0</v>
      </c>
      <c r="BF6" s="22">
        <f t="shared" ref="BF6:BF8" si="34">$G6*BD6</f>
        <v>0</v>
      </c>
      <c r="BG6" s="22">
        <v>2</v>
      </c>
      <c r="BH6" s="22">
        <f t="shared" ref="BH6:BH37" si="35">BG6*$B$78</f>
        <v>2</v>
      </c>
      <c r="BI6" s="22">
        <f t="shared" ref="BI6:BI8" si="36">$G6*BG6</f>
        <v>0</v>
      </c>
      <c r="BJ6" s="22"/>
      <c r="BK6" s="22">
        <f t="shared" ref="BK6:BK37" si="37">BJ6*$B$79</f>
        <v>0</v>
      </c>
      <c r="BL6" s="22">
        <f t="shared" ref="BL6:BL8" si="38">$G6*BJ6</f>
        <v>0</v>
      </c>
      <c r="BM6" s="22"/>
      <c r="BN6" s="22">
        <f t="shared" ref="BN6:BN37" si="39">BM6*$B$80</f>
        <v>0</v>
      </c>
      <c r="BO6" s="22">
        <f t="shared" ref="BO6:BO8" si="40">$G6*BM6</f>
        <v>0</v>
      </c>
      <c r="BP6" s="22"/>
      <c r="BQ6" s="22">
        <f t="shared" ref="BQ6:BQ37" si="41">BP6*$B$81</f>
        <v>0</v>
      </c>
      <c r="BR6" s="22">
        <f t="shared" ref="BR6:BR8" si="42">$G6*BP6</f>
        <v>0</v>
      </c>
      <c r="BS6" s="22"/>
      <c r="BT6" s="22">
        <f t="shared" ref="BT6:BT37" si="43">BS6*$B$82</f>
        <v>0</v>
      </c>
      <c r="BU6" s="22">
        <f t="shared" ref="BU6:BU8" si="44">$G6*BS6</f>
        <v>0</v>
      </c>
      <c r="BV6" s="22"/>
      <c r="BW6" s="22">
        <f t="shared" ref="BW6:BW37" si="45">BV6*$B$83</f>
        <v>0</v>
      </c>
      <c r="BX6" s="22">
        <f t="shared" ref="BX6:BX8" si="46">$G6*BV6</f>
        <v>0</v>
      </c>
      <c r="BY6" s="22"/>
      <c r="BZ6" s="22">
        <f t="shared" ref="BZ6:BZ37" si="47">BY6*$B$84</f>
        <v>0</v>
      </c>
      <c r="CA6" s="22">
        <f t="shared" ref="CA6:CA8" si="48">$G6*BY6</f>
        <v>0</v>
      </c>
      <c r="CB6" s="22"/>
      <c r="CC6" s="22">
        <f t="shared" ref="CC6:CC37" si="49">CB6*$B$85</f>
        <v>0</v>
      </c>
      <c r="CD6" s="22">
        <f t="shared" ref="CD6:CD8" si="50">$G6*CB6</f>
        <v>0</v>
      </c>
      <c r="CE6" s="22"/>
      <c r="CF6" s="22">
        <f t="shared" ref="CF6:CF37" si="51">CE6*$B$86</f>
        <v>0</v>
      </c>
      <c r="CG6" s="22">
        <f t="shared" ref="CG6:CG8" si="52">$G6*CE6</f>
        <v>0</v>
      </c>
      <c r="CH6" s="22"/>
      <c r="CI6" s="22">
        <f t="shared" ref="CI6:CI37" si="53">CH6*$B$87</f>
        <v>0</v>
      </c>
      <c r="CJ6" s="22">
        <f t="shared" ref="CJ6:CJ8" si="54">$G6*CH6</f>
        <v>0</v>
      </c>
      <c r="CK6" s="22"/>
      <c r="CL6" s="22">
        <f t="shared" ref="CL6:CL37" si="55">CK6*$B$88</f>
        <v>0</v>
      </c>
      <c r="CM6" s="22">
        <f t="shared" ref="CM6:CM8" si="56">$G6*CK6</f>
        <v>0</v>
      </c>
      <c r="CN6" s="22"/>
      <c r="CO6" s="22">
        <f t="shared" ref="CO6:CO37" si="57">CN6*$B$89</f>
        <v>0</v>
      </c>
      <c r="CP6" s="22">
        <f t="shared" ref="CP6:CP8" si="58">$G6*CN6</f>
        <v>0</v>
      </c>
      <c r="CQ6" s="22"/>
      <c r="CR6" s="22">
        <f t="shared" ref="CR6:CR37" si="59">CQ6*$B$90</f>
        <v>0</v>
      </c>
      <c r="CS6" s="22">
        <f t="shared" ref="CS6:CS8" si="60">$G6*CQ6</f>
        <v>0</v>
      </c>
      <c r="CT6" s="22"/>
      <c r="CU6" s="22">
        <f t="shared" ref="CU6:CU37" si="61">CT6*$B$91</f>
        <v>0</v>
      </c>
      <c r="CV6" s="22">
        <f t="shared" ref="CV6:CV8" si="62">$G6*CT6</f>
        <v>0</v>
      </c>
      <c r="CW6" s="22"/>
      <c r="CX6" s="22">
        <f t="shared" ref="CX6:CX37" si="63">CW6*$B$92</f>
        <v>0</v>
      </c>
      <c r="CY6" s="22">
        <f t="shared" ref="CY6:CY8" si="64">$G6*CW6</f>
        <v>0</v>
      </c>
      <c r="CZ6" s="22"/>
      <c r="DA6" s="22">
        <f t="shared" ref="DA6:DA37" si="65">CZ6*$B$93</f>
        <v>0</v>
      </c>
      <c r="DB6" s="22">
        <f t="shared" ref="DB6:DB8" si="66">$G6*CZ6</f>
        <v>0</v>
      </c>
      <c r="DC6" s="22"/>
      <c r="DD6" s="22">
        <f t="shared" ref="DD6:DD37" si="67">DC6*$B$94</f>
        <v>0</v>
      </c>
      <c r="DE6" s="22">
        <f t="shared" ref="DE6:DE8" si="68">$G6*DC6</f>
        <v>0</v>
      </c>
      <c r="DF6" s="22"/>
      <c r="DG6" s="22">
        <f t="shared" ref="DG6:DG37" si="69">DF6*$B$95</f>
        <v>0</v>
      </c>
      <c r="DH6" s="22">
        <f t="shared" ref="DH6:DH8" si="70">$G6*DF6</f>
        <v>0</v>
      </c>
      <c r="DI6" s="22"/>
      <c r="DJ6" s="22">
        <f t="shared" ref="DJ6:DJ37" si="71">DI6*$B$96</f>
        <v>0</v>
      </c>
      <c r="DK6" s="22">
        <f t="shared" ref="DK6:DK8" si="72">$G6*DI6</f>
        <v>0</v>
      </c>
      <c r="DL6" s="22"/>
      <c r="DM6" s="22">
        <f t="shared" ref="DM6:DM37" si="73">DL6*$B$97</f>
        <v>0</v>
      </c>
      <c r="DN6" s="22">
        <f t="shared" ref="DN6:DN8" si="74">$G6*DL6</f>
        <v>0</v>
      </c>
      <c r="DO6" s="22"/>
      <c r="DP6" s="22">
        <f t="shared" ref="DP6:DP37" si="75">DO6*$B$98</f>
        <v>0</v>
      </c>
      <c r="DQ6" s="22">
        <f t="shared" ref="DQ6:DQ8" si="76">$G6*DO6</f>
        <v>0</v>
      </c>
      <c r="DR6" s="22"/>
      <c r="DS6" s="22">
        <f t="shared" ref="DS6:DS37" si="77">DR6*$B$99</f>
        <v>0</v>
      </c>
      <c r="DT6" s="22">
        <f t="shared" ref="DT6:DT8" si="78">$G6*DR6</f>
        <v>0</v>
      </c>
      <c r="DU6" s="22"/>
      <c r="DV6" s="22">
        <f t="shared" ref="DV6:DV37" si="79">DU6*$B$100</f>
        <v>0</v>
      </c>
      <c r="DW6" s="22">
        <f t="shared" ref="DW6:DW8" si="80">$G6*DU6</f>
        <v>0</v>
      </c>
      <c r="DX6" s="22"/>
      <c r="DY6" s="22">
        <f t="shared" ref="DY6:DY37" si="81">DX6*$B$101</f>
        <v>0</v>
      </c>
      <c r="DZ6" s="22">
        <f t="shared" ref="DZ6:DZ8" si="82">$G6*DX6</f>
        <v>0</v>
      </c>
      <c r="EA6" s="22"/>
      <c r="EB6" s="22">
        <f t="shared" ref="EB6:EB37" si="83">EA6*$B$102</f>
        <v>0</v>
      </c>
      <c r="EC6" s="22">
        <f t="shared" ref="EC6:EC8" si="84">$G6*EA6</f>
        <v>0</v>
      </c>
      <c r="ED6" s="22"/>
      <c r="EE6" s="22">
        <f t="shared" ref="EE6:EE37" si="85">ED6*$B$103</f>
        <v>0</v>
      </c>
      <c r="EF6" s="22">
        <f t="shared" ref="EF6:EF8" si="86">$G6*ED6</f>
        <v>0</v>
      </c>
      <c r="EG6" s="22"/>
      <c r="EH6" s="22">
        <f t="shared" ref="EH6:EH37" si="87">EG6*$B$104</f>
        <v>0</v>
      </c>
      <c r="EI6" s="22">
        <f t="shared" ref="EI6:EI8" si="88">$G6*EG6</f>
        <v>0</v>
      </c>
      <c r="EJ6" s="22"/>
      <c r="EK6" s="22">
        <f t="shared" ref="EK6:EK37" si="89">EJ6*$B$105</f>
        <v>0</v>
      </c>
      <c r="EL6" s="22">
        <f t="shared" ref="EL6:EL8" si="90">$G6*EJ6</f>
        <v>0</v>
      </c>
      <c r="EM6" s="22"/>
      <c r="EN6" s="22">
        <f t="shared" ref="EN6:EN37" si="91">EM6*$B$106</f>
        <v>0</v>
      </c>
      <c r="EO6" s="22">
        <f t="shared" ref="EO6:EO8" si="92">$G6*EM6</f>
        <v>0</v>
      </c>
    </row>
    <row r="7" spans="1:145">
      <c r="A7" s="15">
        <v>6</v>
      </c>
      <c r="B7" s="17" t="s">
        <v>377</v>
      </c>
      <c r="C7" s="16" t="s">
        <v>378</v>
      </c>
      <c r="D7" s="17" t="s">
        <v>379</v>
      </c>
      <c r="E7" s="18" t="s">
        <v>380</v>
      </c>
      <c r="F7" s="19">
        <f t="shared" si="0"/>
        <v>83</v>
      </c>
      <c r="G7" s="20"/>
      <c r="H7" s="21">
        <v>2</v>
      </c>
      <c r="I7" s="22">
        <f t="shared" si="1"/>
        <v>0</v>
      </c>
      <c r="J7" s="22">
        <f t="shared" si="2"/>
        <v>0</v>
      </c>
      <c r="K7" s="22">
        <v>2</v>
      </c>
      <c r="L7" s="22">
        <f t="shared" si="3"/>
        <v>0</v>
      </c>
      <c r="M7" s="22">
        <f t="shared" si="4"/>
        <v>0</v>
      </c>
      <c r="N7" s="22"/>
      <c r="O7" s="22">
        <f t="shared" si="5"/>
        <v>0</v>
      </c>
      <c r="P7" s="22">
        <f t="shared" si="6"/>
        <v>0</v>
      </c>
      <c r="Q7" s="22"/>
      <c r="R7" s="22">
        <f t="shared" si="7"/>
        <v>0</v>
      </c>
      <c r="S7" s="22">
        <f t="shared" si="8"/>
        <v>0</v>
      </c>
      <c r="T7" s="22"/>
      <c r="U7" s="22">
        <f t="shared" si="9"/>
        <v>0</v>
      </c>
      <c r="V7" s="22">
        <f t="shared" si="10"/>
        <v>0</v>
      </c>
      <c r="W7" s="22">
        <v>1</v>
      </c>
      <c r="X7" s="22">
        <f t="shared" si="11"/>
        <v>0</v>
      </c>
      <c r="Y7" s="22">
        <f t="shared" si="12"/>
        <v>0</v>
      </c>
      <c r="Z7" s="22"/>
      <c r="AA7" s="22">
        <f t="shared" si="13"/>
        <v>0</v>
      </c>
      <c r="AB7" s="22">
        <f t="shared" si="14"/>
        <v>0</v>
      </c>
      <c r="AC7" s="22"/>
      <c r="AD7" s="22">
        <f t="shared" si="15"/>
        <v>0</v>
      </c>
      <c r="AE7" s="22">
        <f t="shared" si="16"/>
        <v>0</v>
      </c>
      <c r="AF7" s="22"/>
      <c r="AG7" s="22">
        <f t="shared" si="17"/>
        <v>0</v>
      </c>
      <c r="AH7" s="22">
        <f t="shared" si="18"/>
        <v>0</v>
      </c>
      <c r="AI7" s="22">
        <v>1</v>
      </c>
      <c r="AJ7" s="22">
        <f t="shared" si="19"/>
        <v>0</v>
      </c>
      <c r="AK7" s="22">
        <f t="shared" si="20"/>
        <v>0</v>
      </c>
      <c r="AL7" s="22">
        <v>2</v>
      </c>
      <c r="AM7" s="22">
        <f t="shared" si="21"/>
        <v>2</v>
      </c>
      <c r="AN7" s="22">
        <f t="shared" si="22"/>
        <v>0</v>
      </c>
      <c r="AO7" s="22"/>
      <c r="AP7" s="22">
        <f t="shared" si="23"/>
        <v>0</v>
      </c>
      <c r="AQ7" s="22">
        <f t="shared" si="24"/>
        <v>0</v>
      </c>
      <c r="AR7" s="22">
        <v>1</v>
      </c>
      <c r="AS7" s="22">
        <f t="shared" si="25"/>
        <v>7</v>
      </c>
      <c r="AT7" s="22">
        <f t="shared" si="26"/>
        <v>0</v>
      </c>
      <c r="AU7" s="22">
        <v>1</v>
      </c>
      <c r="AV7" s="22">
        <f t="shared" si="27"/>
        <v>1</v>
      </c>
      <c r="AW7" s="22">
        <f t="shared" si="28"/>
        <v>0</v>
      </c>
      <c r="AX7" s="22"/>
      <c r="AY7" s="22">
        <f t="shared" si="29"/>
        <v>0</v>
      </c>
      <c r="AZ7" s="22">
        <f t="shared" si="30"/>
        <v>0</v>
      </c>
      <c r="BA7" s="22">
        <v>1</v>
      </c>
      <c r="BB7" s="22">
        <f t="shared" si="31"/>
        <v>0</v>
      </c>
      <c r="BC7" s="22">
        <f t="shared" si="32"/>
        <v>0</v>
      </c>
      <c r="BD7" s="22">
        <v>2</v>
      </c>
      <c r="BE7" s="22">
        <f t="shared" si="33"/>
        <v>2</v>
      </c>
      <c r="BF7" s="22">
        <f t="shared" si="34"/>
        <v>0</v>
      </c>
      <c r="BG7" s="22">
        <v>2</v>
      </c>
      <c r="BH7" s="22">
        <f t="shared" si="35"/>
        <v>2</v>
      </c>
      <c r="BI7" s="22">
        <f t="shared" si="36"/>
        <v>0</v>
      </c>
      <c r="BJ7" s="22"/>
      <c r="BK7" s="22">
        <f t="shared" si="37"/>
        <v>0</v>
      </c>
      <c r="BL7" s="22">
        <f t="shared" si="38"/>
        <v>0</v>
      </c>
      <c r="BM7" s="22">
        <v>1</v>
      </c>
      <c r="BN7" s="22">
        <f t="shared" si="39"/>
        <v>2</v>
      </c>
      <c r="BO7" s="22">
        <f t="shared" si="40"/>
        <v>0</v>
      </c>
      <c r="BP7" s="22">
        <v>1</v>
      </c>
      <c r="BQ7" s="22">
        <f t="shared" si="41"/>
        <v>1</v>
      </c>
      <c r="BR7" s="22">
        <f t="shared" si="42"/>
        <v>0</v>
      </c>
      <c r="BS7" s="22"/>
      <c r="BT7" s="22">
        <f t="shared" si="43"/>
        <v>0</v>
      </c>
      <c r="BU7" s="22">
        <f t="shared" si="44"/>
        <v>0</v>
      </c>
      <c r="BV7" s="22">
        <v>1</v>
      </c>
      <c r="BW7" s="22">
        <f t="shared" si="45"/>
        <v>0</v>
      </c>
      <c r="BX7" s="22">
        <f t="shared" si="46"/>
        <v>0</v>
      </c>
      <c r="BY7" s="22">
        <v>1</v>
      </c>
      <c r="BZ7" s="22">
        <f t="shared" si="47"/>
        <v>12</v>
      </c>
      <c r="CA7" s="22">
        <f t="shared" si="48"/>
        <v>0</v>
      </c>
      <c r="CB7" s="22">
        <v>1</v>
      </c>
      <c r="CC7" s="22">
        <f t="shared" si="49"/>
        <v>31</v>
      </c>
      <c r="CD7" s="22">
        <f t="shared" si="50"/>
        <v>0</v>
      </c>
      <c r="CE7" s="22">
        <v>1</v>
      </c>
      <c r="CF7" s="22">
        <f t="shared" si="51"/>
        <v>1</v>
      </c>
      <c r="CG7" s="22">
        <f t="shared" si="52"/>
        <v>0</v>
      </c>
      <c r="CH7" s="22">
        <v>1</v>
      </c>
      <c r="CI7" s="22">
        <f t="shared" si="53"/>
        <v>1</v>
      </c>
      <c r="CJ7" s="22">
        <f t="shared" si="54"/>
        <v>0</v>
      </c>
      <c r="CK7" s="22">
        <v>1</v>
      </c>
      <c r="CL7" s="22">
        <f t="shared" si="55"/>
        <v>2</v>
      </c>
      <c r="CM7" s="22">
        <f t="shared" si="56"/>
        <v>0</v>
      </c>
      <c r="CN7" s="22">
        <v>1</v>
      </c>
      <c r="CO7" s="22">
        <f t="shared" si="57"/>
        <v>2</v>
      </c>
      <c r="CP7" s="22">
        <f t="shared" si="58"/>
        <v>0</v>
      </c>
      <c r="CQ7" s="22">
        <v>1</v>
      </c>
      <c r="CR7" s="22">
        <f t="shared" si="59"/>
        <v>3</v>
      </c>
      <c r="CS7" s="22">
        <f t="shared" si="60"/>
        <v>0</v>
      </c>
      <c r="CT7" s="22">
        <v>1</v>
      </c>
      <c r="CU7" s="22">
        <f t="shared" si="61"/>
        <v>1</v>
      </c>
      <c r="CV7" s="22">
        <f t="shared" si="62"/>
        <v>0</v>
      </c>
      <c r="CW7" s="22"/>
      <c r="CX7" s="22">
        <f t="shared" si="63"/>
        <v>0</v>
      </c>
      <c r="CY7" s="22">
        <f t="shared" si="64"/>
        <v>0</v>
      </c>
      <c r="CZ7" s="22"/>
      <c r="DA7" s="22">
        <f t="shared" si="65"/>
        <v>0</v>
      </c>
      <c r="DB7" s="22">
        <f t="shared" si="66"/>
        <v>0</v>
      </c>
      <c r="DC7" s="22">
        <v>1</v>
      </c>
      <c r="DD7" s="22">
        <f t="shared" si="67"/>
        <v>6</v>
      </c>
      <c r="DE7" s="22">
        <f t="shared" si="68"/>
        <v>0</v>
      </c>
      <c r="DF7" s="22">
        <v>2</v>
      </c>
      <c r="DG7" s="22">
        <f t="shared" si="69"/>
        <v>0</v>
      </c>
      <c r="DH7" s="22">
        <f t="shared" si="70"/>
        <v>0</v>
      </c>
      <c r="DI7" s="22"/>
      <c r="DJ7" s="22">
        <f t="shared" si="71"/>
        <v>0</v>
      </c>
      <c r="DK7" s="22">
        <f t="shared" si="72"/>
        <v>0</v>
      </c>
      <c r="DL7" s="22">
        <v>1</v>
      </c>
      <c r="DM7" s="22">
        <f t="shared" si="73"/>
        <v>2</v>
      </c>
      <c r="DN7" s="22">
        <f t="shared" si="74"/>
        <v>0</v>
      </c>
      <c r="DO7" s="22">
        <v>1</v>
      </c>
      <c r="DP7" s="22">
        <f t="shared" si="75"/>
        <v>3</v>
      </c>
      <c r="DQ7" s="22">
        <f t="shared" si="76"/>
        <v>0</v>
      </c>
      <c r="DR7" s="22">
        <v>1</v>
      </c>
      <c r="DS7" s="22">
        <f t="shared" si="77"/>
        <v>1</v>
      </c>
      <c r="DT7" s="22">
        <f t="shared" si="78"/>
        <v>0</v>
      </c>
      <c r="DU7" s="22">
        <v>2</v>
      </c>
      <c r="DV7" s="22">
        <f t="shared" si="79"/>
        <v>0</v>
      </c>
      <c r="DW7" s="22">
        <f t="shared" si="80"/>
        <v>0</v>
      </c>
      <c r="DX7" s="22">
        <v>2</v>
      </c>
      <c r="DY7" s="22">
        <f t="shared" si="81"/>
        <v>0</v>
      </c>
      <c r="DZ7" s="22">
        <f t="shared" si="82"/>
        <v>0</v>
      </c>
      <c r="EA7" s="22">
        <v>2</v>
      </c>
      <c r="EB7" s="22">
        <f t="shared" si="83"/>
        <v>0</v>
      </c>
      <c r="EC7" s="22">
        <f t="shared" si="84"/>
        <v>0</v>
      </c>
      <c r="ED7" s="22"/>
      <c r="EE7" s="22">
        <f t="shared" si="85"/>
        <v>0</v>
      </c>
      <c r="EF7" s="22">
        <f t="shared" si="86"/>
        <v>0</v>
      </c>
      <c r="EG7" s="22">
        <v>1</v>
      </c>
      <c r="EH7" s="22">
        <f t="shared" si="87"/>
        <v>1</v>
      </c>
      <c r="EI7" s="22">
        <f t="shared" si="88"/>
        <v>0</v>
      </c>
      <c r="EJ7" s="22"/>
      <c r="EK7" s="22">
        <f t="shared" si="89"/>
        <v>0</v>
      </c>
      <c r="EL7" s="22">
        <f t="shared" si="90"/>
        <v>0</v>
      </c>
      <c r="EM7" s="22"/>
      <c r="EN7" s="22">
        <f t="shared" si="91"/>
        <v>0</v>
      </c>
      <c r="EO7" s="22">
        <f t="shared" si="92"/>
        <v>0</v>
      </c>
    </row>
    <row r="8" spans="1:145">
      <c r="A8" s="15">
        <v>8</v>
      </c>
      <c r="B8" s="16" t="s">
        <v>381</v>
      </c>
      <c r="C8" s="17" t="s">
        <v>382</v>
      </c>
      <c r="D8" s="23" t="s">
        <v>383</v>
      </c>
      <c r="E8" s="18" t="s">
        <v>384</v>
      </c>
      <c r="F8" s="19">
        <f t="shared" si="0"/>
        <v>1</v>
      </c>
      <c r="G8" s="20"/>
      <c r="H8" s="21">
        <v>2</v>
      </c>
      <c r="I8" s="22">
        <f t="shared" si="1"/>
        <v>0</v>
      </c>
      <c r="J8" s="22">
        <f t="shared" si="2"/>
        <v>0</v>
      </c>
      <c r="K8" s="22">
        <v>2</v>
      </c>
      <c r="L8" s="22">
        <f t="shared" si="3"/>
        <v>0</v>
      </c>
      <c r="M8" s="22">
        <f t="shared" si="4"/>
        <v>0</v>
      </c>
      <c r="N8" s="22">
        <v>1</v>
      </c>
      <c r="O8" s="22">
        <f t="shared" si="5"/>
        <v>0</v>
      </c>
      <c r="P8" s="22">
        <f t="shared" si="6"/>
        <v>0</v>
      </c>
      <c r="Q8" s="22">
        <v>1</v>
      </c>
      <c r="R8" s="22">
        <f t="shared" si="7"/>
        <v>0</v>
      </c>
      <c r="S8" s="22">
        <f t="shared" si="8"/>
        <v>0</v>
      </c>
      <c r="T8" s="22">
        <v>2</v>
      </c>
      <c r="U8" s="22">
        <f t="shared" si="9"/>
        <v>0</v>
      </c>
      <c r="V8" s="22">
        <f t="shared" si="10"/>
        <v>0</v>
      </c>
      <c r="W8" s="22">
        <v>1</v>
      </c>
      <c r="X8" s="22">
        <f t="shared" si="11"/>
        <v>0</v>
      </c>
      <c r="Y8" s="22">
        <f t="shared" si="12"/>
        <v>0</v>
      </c>
      <c r="Z8" s="22">
        <v>1</v>
      </c>
      <c r="AA8" s="22">
        <f t="shared" si="13"/>
        <v>0</v>
      </c>
      <c r="AB8" s="22">
        <f t="shared" si="14"/>
        <v>0</v>
      </c>
      <c r="AC8" s="22">
        <v>2</v>
      </c>
      <c r="AD8" s="22">
        <f t="shared" si="15"/>
        <v>0</v>
      </c>
      <c r="AE8" s="22">
        <f t="shared" si="16"/>
        <v>0</v>
      </c>
      <c r="AF8" s="22">
        <v>2</v>
      </c>
      <c r="AG8" s="22">
        <f t="shared" si="17"/>
        <v>0</v>
      </c>
      <c r="AH8" s="22">
        <f t="shared" si="18"/>
        <v>0</v>
      </c>
      <c r="AI8" s="22">
        <v>1</v>
      </c>
      <c r="AJ8" s="22">
        <f t="shared" si="19"/>
        <v>0</v>
      </c>
      <c r="AK8" s="22">
        <f t="shared" si="20"/>
        <v>0</v>
      </c>
      <c r="AL8" s="22"/>
      <c r="AM8" s="22">
        <f t="shared" si="21"/>
        <v>0</v>
      </c>
      <c r="AN8" s="22">
        <f t="shared" si="22"/>
        <v>0</v>
      </c>
      <c r="AO8" s="22"/>
      <c r="AP8" s="22">
        <f t="shared" si="23"/>
        <v>0</v>
      </c>
      <c r="AQ8" s="22">
        <f t="shared" si="24"/>
        <v>0</v>
      </c>
      <c r="AR8" s="22"/>
      <c r="AS8" s="22">
        <f t="shared" si="25"/>
        <v>0</v>
      </c>
      <c r="AT8" s="22">
        <f t="shared" si="26"/>
        <v>0</v>
      </c>
      <c r="AU8" s="22"/>
      <c r="AV8" s="22">
        <f t="shared" si="27"/>
        <v>0</v>
      </c>
      <c r="AW8" s="22">
        <f t="shared" si="28"/>
        <v>0</v>
      </c>
      <c r="AX8" s="22">
        <v>2</v>
      </c>
      <c r="AY8" s="22">
        <f t="shared" si="29"/>
        <v>0</v>
      </c>
      <c r="AZ8" s="22">
        <f t="shared" si="30"/>
        <v>0</v>
      </c>
      <c r="BA8" s="22">
        <v>1</v>
      </c>
      <c r="BB8" s="22">
        <f t="shared" si="31"/>
        <v>0</v>
      </c>
      <c r="BC8" s="22">
        <f t="shared" si="32"/>
        <v>0</v>
      </c>
      <c r="BD8" s="22"/>
      <c r="BE8" s="22">
        <f t="shared" si="33"/>
        <v>0</v>
      </c>
      <c r="BF8" s="22">
        <f t="shared" si="34"/>
        <v>0</v>
      </c>
      <c r="BG8" s="22"/>
      <c r="BH8" s="22">
        <f t="shared" si="35"/>
        <v>0</v>
      </c>
      <c r="BI8" s="22">
        <f t="shared" si="36"/>
        <v>0</v>
      </c>
      <c r="BJ8" s="22"/>
      <c r="BK8" s="22">
        <f t="shared" si="37"/>
        <v>0</v>
      </c>
      <c r="BL8" s="22">
        <f t="shared" si="38"/>
        <v>0</v>
      </c>
      <c r="BM8" s="22"/>
      <c r="BN8" s="22">
        <f t="shared" si="39"/>
        <v>0</v>
      </c>
      <c r="BO8" s="22">
        <f t="shared" si="40"/>
        <v>0</v>
      </c>
      <c r="BP8" s="22"/>
      <c r="BQ8" s="22">
        <f t="shared" si="41"/>
        <v>0</v>
      </c>
      <c r="BR8" s="22">
        <f t="shared" si="42"/>
        <v>0</v>
      </c>
      <c r="BS8" s="22"/>
      <c r="BT8" s="22">
        <f t="shared" si="43"/>
        <v>0</v>
      </c>
      <c r="BU8" s="22">
        <f t="shared" si="44"/>
        <v>0</v>
      </c>
      <c r="BV8" s="22"/>
      <c r="BW8" s="22">
        <f t="shared" si="45"/>
        <v>0</v>
      </c>
      <c r="BX8" s="22">
        <f t="shared" si="46"/>
        <v>0</v>
      </c>
      <c r="BY8" s="22"/>
      <c r="BZ8" s="22">
        <f t="shared" si="47"/>
        <v>0</v>
      </c>
      <c r="CA8" s="22">
        <f t="shared" si="48"/>
        <v>0</v>
      </c>
      <c r="CB8" s="22"/>
      <c r="CC8" s="22">
        <f t="shared" si="49"/>
        <v>0</v>
      </c>
      <c r="CD8" s="22">
        <f t="shared" si="50"/>
        <v>0</v>
      </c>
      <c r="CE8" s="22"/>
      <c r="CF8" s="22">
        <f t="shared" si="51"/>
        <v>0</v>
      </c>
      <c r="CG8" s="22">
        <f t="shared" si="52"/>
        <v>0</v>
      </c>
      <c r="CH8" s="22"/>
      <c r="CI8" s="22">
        <f t="shared" si="53"/>
        <v>0</v>
      </c>
      <c r="CJ8" s="22">
        <f t="shared" si="54"/>
        <v>0</v>
      </c>
      <c r="CK8" s="22"/>
      <c r="CL8" s="22">
        <f t="shared" si="55"/>
        <v>0</v>
      </c>
      <c r="CM8" s="22">
        <f t="shared" si="56"/>
        <v>0</v>
      </c>
      <c r="CN8" s="22"/>
      <c r="CO8" s="22">
        <f t="shared" si="57"/>
        <v>0</v>
      </c>
      <c r="CP8" s="22">
        <f t="shared" si="58"/>
        <v>0</v>
      </c>
      <c r="CQ8" s="22"/>
      <c r="CR8" s="22">
        <f t="shared" si="59"/>
        <v>0</v>
      </c>
      <c r="CS8" s="22">
        <f t="shared" si="60"/>
        <v>0</v>
      </c>
      <c r="CT8" s="22"/>
      <c r="CU8" s="22">
        <f t="shared" si="61"/>
        <v>0</v>
      </c>
      <c r="CV8" s="22">
        <f t="shared" si="62"/>
        <v>0</v>
      </c>
      <c r="CW8" s="22"/>
      <c r="CX8" s="22">
        <f t="shared" si="63"/>
        <v>0</v>
      </c>
      <c r="CY8" s="22">
        <f t="shared" si="64"/>
        <v>0</v>
      </c>
      <c r="CZ8" s="22"/>
      <c r="DA8" s="22">
        <f t="shared" si="65"/>
        <v>0</v>
      </c>
      <c r="DB8" s="22">
        <f t="shared" si="66"/>
        <v>0</v>
      </c>
      <c r="DC8" s="22"/>
      <c r="DD8" s="22">
        <f t="shared" si="67"/>
        <v>0</v>
      </c>
      <c r="DE8" s="22">
        <f t="shared" si="68"/>
        <v>0</v>
      </c>
      <c r="DF8" s="22"/>
      <c r="DG8" s="22">
        <f t="shared" si="69"/>
        <v>0</v>
      </c>
      <c r="DH8" s="22">
        <f t="shared" si="70"/>
        <v>0</v>
      </c>
      <c r="DI8" s="22"/>
      <c r="DJ8" s="22">
        <f t="shared" si="71"/>
        <v>0</v>
      </c>
      <c r="DK8" s="22">
        <f t="shared" si="72"/>
        <v>0</v>
      </c>
      <c r="DL8" s="22"/>
      <c r="DM8" s="22">
        <f t="shared" si="73"/>
        <v>0</v>
      </c>
      <c r="DN8" s="22">
        <f t="shared" si="74"/>
        <v>0</v>
      </c>
      <c r="DO8" s="22"/>
      <c r="DP8" s="22">
        <f t="shared" si="75"/>
        <v>0</v>
      </c>
      <c r="DQ8" s="22">
        <f t="shared" si="76"/>
        <v>0</v>
      </c>
      <c r="DR8" s="22">
        <v>1</v>
      </c>
      <c r="DS8" s="22">
        <f t="shared" si="77"/>
        <v>1</v>
      </c>
      <c r="DT8" s="22">
        <f t="shared" si="78"/>
        <v>0</v>
      </c>
      <c r="DU8" s="22"/>
      <c r="DV8" s="22">
        <f t="shared" si="79"/>
        <v>0</v>
      </c>
      <c r="DW8" s="22">
        <f t="shared" si="80"/>
        <v>0</v>
      </c>
      <c r="DX8" s="22"/>
      <c r="DY8" s="22">
        <f t="shared" si="81"/>
        <v>0</v>
      </c>
      <c r="DZ8" s="22">
        <f t="shared" si="82"/>
        <v>0</v>
      </c>
      <c r="EA8" s="22">
        <v>2</v>
      </c>
      <c r="EB8" s="22">
        <f t="shared" si="83"/>
        <v>0</v>
      </c>
      <c r="EC8" s="22">
        <f t="shared" si="84"/>
        <v>0</v>
      </c>
      <c r="ED8" s="22">
        <v>1</v>
      </c>
      <c r="EE8" s="22">
        <f t="shared" si="85"/>
        <v>0</v>
      </c>
      <c r="EF8" s="22">
        <f t="shared" si="86"/>
        <v>0</v>
      </c>
      <c r="EG8" s="22"/>
      <c r="EH8" s="22">
        <f t="shared" si="87"/>
        <v>0</v>
      </c>
      <c r="EI8" s="22">
        <f t="shared" si="88"/>
        <v>0</v>
      </c>
      <c r="EJ8" s="22"/>
      <c r="EK8" s="22">
        <f t="shared" si="89"/>
        <v>0</v>
      </c>
      <c r="EL8" s="22">
        <f t="shared" si="90"/>
        <v>0</v>
      </c>
      <c r="EM8" s="22"/>
      <c r="EN8" s="22">
        <f t="shared" si="91"/>
        <v>0</v>
      </c>
      <c r="EO8" s="22">
        <f t="shared" si="92"/>
        <v>0</v>
      </c>
    </row>
    <row r="9" spans="1:145">
      <c r="A9" s="15">
        <v>10</v>
      </c>
      <c r="B9" s="17" t="s">
        <v>385</v>
      </c>
      <c r="C9" s="17" t="s">
        <v>382</v>
      </c>
      <c r="D9" s="17" t="s">
        <v>386</v>
      </c>
      <c r="E9" s="18" t="s">
        <v>384</v>
      </c>
      <c r="F9" s="19">
        <f t="shared" si="0"/>
        <v>1</v>
      </c>
      <c r="G9" s="20"/>
      <c r="H9" s="21">
        <v>1</v>
      </c>
      <c r="I9" s="22">
        <f t="shared" si="1"/>
        <v>0</v>
      </c>
      <c r="J9" s="22">
        <f t="shared" ref="J9:J10" si="93">$G9*H9</f>
        <v>0</v>
      </c>
      <c r="K9" s="22"/>
      <c r="L9" s="22">
        <f t="shared" si="3"/>
        <v>0</v>
      </c>
      <c r="M9" s="22">
        <f t="shared" ref="M9:M10" si="94">$G9*K9</f>
        <v>0</v>
      </c>
      <c r="N9" s="22"/>
      <c r="O9" s="22">
        <f t="shared" si="5"/>
        <v>0</v>
      </c>
      <c r="P9" s="22">
        <f t="shared" ref="P9:P10" si="95">$G9*N9</f>
        <v>0</v>
      </c>
      <c r="Q9" s="22"/>
      <c r="R9" s="22">
        <f t="shared" si="7"/>
        <v>0</v>
      </c>
      <c r="S9" s="22">
        <f t="shared" ref="S9:S10" si="96">$G9*Q9</f>
        <v>0</v>
      </c>
      <c r="T9" s="22">
        <v>1</v>
      </c>
      <c r="U9" s="22">
        <f t="shared" si="9"/>
        <v>0</v>
      </c>
      <c r="V9" s="22">
        <f t="shared" ref="V9:V10" si="97">$G9*T9</f>
        <v>0</v>
      </c>
      <c r="W9" s="22"/>
      <c r="X9" s="22">
        <f t="shared" si="11"/>
        <v>0</v>
      </c>
      <c r="Y9" s="22">
        <f t="shared" ref="Y9:Y10" si="98">$G9*W9</f>
        <v>0</v>
      </c>
      <c r="Z9" s="22"/>
      <c r="AA9" s="22">
        <f t="shared" si="13"/>
        <v>0</v>
      </c>
      <c r="AB9" s="22">
        <f t="shared" ref="AB9:AB10" si="99">$G9*Z9</f>
        <v>0</v>
      </c>
      <c r="AC9" s="22"/>
      <c r="AD9" s="22">
        <f t="shared" si="15"/>
        <v>0</v>
      </c>
      <c r="AE9" s="22">
        <f t="shared" ref="AE9:AE10" si="100">$G9*AC9</f>
        <v>0</v>
      </c>
      <c r="AF9" s="22"/>
      <c r="AG9" s="22">
        <f t="shared" si="17"/>
        <v>0</v>
      </c>
      <c r="AH9" s="22">
        <f t="shared" ref="AH9:AH10" si="101">$G9*AF9</f>
        <v>0</v>
      </c>
      <c r="AI9" s="22"/>
      <c r="AJ9" s="22">
        <f t="shared" si="19"/>
        <v>0</v>
      </c>
      <c r="AK9" s="22">
        <f t="shared" ref="AK9:AK10" si="102">$G9*AI9</f>
        <v>0</v>
      </c>
      <c r="AL9" s="22"/>
      <c r="AM9" s="22">
        <f t="shared" si="21"/>
        <v>0</v>
      </c>
      <c r="AN9" s="22">
        <f t="shared" ref="AN9:AN10" si="103">$G9*AL9</f>
        <v>0</v>
      </c>
      <c r="AO9" s="22"/>
      <c r="AP9" s="22">
        <f t="shared" si="23"/>
        <v>0</v>
      </c>
      <c r="AQ9" s="22">
        <f t="shared" ref="AQ9:AQ10" si="104">$G9*AO9</f>
        <v>0</v>
      </c>
      <c r="AR9" s="22"/>
      <c r="AS9" s="22">
        <f t="shared" si="25"/>
        <v>0</v>
      </c>
      <c r="AT9" s="22">
        <f t="shared" ref="AT9:AT10" si="105">$G9*AR9</f>
        <v>0</v>
      </c>
      <c r="AU9" s="22"/>
      <c r="AV9" s="22">
        <f t="shared" si="27"/>
        <v>0</v>
      </c>
      <c r="AW9" s="22">
        <f t="shared" ref="AW9:AW10" si="106">$G9*AU9</f>
        <v>0</v>
      </c>
      <c r="AX9" s="22"/>
      <c r="AY9" s="22">
        <f t="shared" si="29"/>
        <v>0</v>
      </c>
      <c r="AZ9" s="22">
        <f t="shared" ref="AZ9:AZ10" si="107">$G9*AX9</f>
        <v>0</v>
      </c>
      <c r="BA9" s="22"/>
      <c r="BB9" s="22">
        <f t="shared" si="31"/>
        <v>0</v>
      </c>
      <c r="BC9" s="22">
        <f t="shared" ref="BC9:BC10" si="108">$G9*BA9</f>
        <v>0</v>
      </c>
      <c r="BD9" s="22"/>
      <c r="BE9" s="22">
        <f t="shared" si="33"/>
        <v>0</v>
      </c>
      <c r="BF9" s="22">
        <f t="shared" ref="BF9:BF10" si="109">$G9*BD9</f>
        <v>0</v>
      </c>
      <c r="BG9" s="22">
        <v>1</v>
      </c>
      <c r="BH9" s="22">
        <f t="shared" si="35"/>
        <v>1</v>
      </c>
      <c r="BI9" s="22">
        <f t="shared" ref="BI9:BI10" si="110">$G9*BG9</f>
        <v>0</v>
      </c>
      <c r="BJ9" s="22"/>
      <c r="BK9" s="22">
        <f t="shared" si="37"/>
        <v>0</v>
      </c>
      <c r="BL9" s="22">
        <f t="shared" ref="BL9:BL10" si="111">$G9*BJ9</f>
        <v>0</v>
      </c>
      <c r="BM9" s="22"/>
      <c r="BN9" s="22">
        <f t="shared" si="39"/>
        <v>0</v>
      </c>
      <c r="BO9" s="22">
        <f t="shared" ref="BO9:BO10" si="112">$G9*BM9</f>
        <v>0</v>
      </c>
      <c r="BP9" s="22"/>
      <c r="BQ9" s="22">
        <f t="shared" si="41"/>
        <v>0</v>
      </c>
      <c r="BR9" s="22">
        <f t="shared" ref="BR9:BR10" si="113">$G9*BP9</f>
        <v>0</v>
      </c>
      <c r="BS9" s="22"/>
      <c r="BT9" s="22">
        <f t="shared" si="43"/>
        <v>0</v>
      </c>
      <c r="BU9" s="22">
        <f t="shared" ref="BU9:BU10" si="114">$G9*BS9</f>
        <v>0</v>
      </c>
      <c r="BV9" s="22"/>
      <c r="BW9" s="22">
        <f t="shared" si="45"/>
        <v>0</v>
      </c>
      <c r="BX9" s="22">
        <f t="shared" ref="BX9:BX10" si="115">$G9*BV9</f>
        <v>0</v>
      </c>
      <c r="BY9" s="22"/>
      <c r="BZ9" s="22">
        <f t="shared" si="47"/>
        <v>0</v>
      </c>
      <c r="CA9" s="22">
        <f t="shared" ref="CA9:CA10" si="116">$G9*BY9</f>
        <v>0</v>
      </c>
      <c r="CB9" s="22"/>
      <c r="CC9" s="22">
        <f t="shared" si="49"/>
        <v>0</v>
      </c>
      <c r="CD9" s="22">
        <f t="shared" ref="CD9:CD10" si="117">$G9*CB9</f>
        <v>0</v>
      </c>
      <c r="CE9" s="22"/>
      <c r="CF9" s="22">
        <f t="shared" si="51"/>
        <v>0</v>
      </c>
      <c r="CG9" s="22">
        <f t="shared" ref="CG9:CG10" si="118">$G9*CE9</f>
        <v>0</v>
      </c>
      <c r="CH9" s="22"/>
      <c r="CI9" s="22">
        <f t="shared" si="53"/>
        <v>0</v>
      </c>
      <c r="CJ9" s="22">
        <f t="shared" ref="CJ9:CJ10" si="119">$G9*CH9</f>
        <v>0</v>
      </c>
      <c r="CK9" s="22"/>
      <c r="CL9" s="22">
        <f t="shared" si="55"/>
        <v>0</v>
      </c>
      <c r="CM9" s="22">
        <f t="shared" ref="CM9:CM10" si="120">$G9*CK9</f>
        <v>0</v>
      </c>
      <c r="CN9" s="22"/>
      <c r="CO9" s="22">
        <f t="shared" si="57"/>
        <v>0</v>
      </c>
      <c r="CP9" s="22">
        <f t="shared" ref="CP9:CP10" si="121">$G9*CN9</f>
        <v>0</v>
      </c>
      <c r="CQ9" s="22"/>
      <c r="CR9" s="22">
        <f t="shared" si="59"/>
        <v>0</v>
      </c>
      <c r="CS9" s="22">
        <f t="shared" ref="CS9:CS10" si="122">$G9*CQ9</f>
        <v>0</v>
      </c>
      <c r="CT9" s="22"/>
      <c r="CU9" s="22">
        <f t="shared" si="61"/>
        <v>0</v>
      </c>
      <c r="CV9" s="22">
        <f t="shared" ref="CV9:CV10" si="123">$G9*CT9</f>
        <v>0</v>
      </c>
      <c r="CW9" s="22"/>
      <c r="CX9" s="22">
        <f t="shared" si="63"/>
        <v>0</v>
      </c>
      <c r="CY9" s="22">
        <f t="shared" ref="CY9:CY10" si="124">$G9*CW9</f>
        <v>0</v>
      </c>
      <c r="CZ9" s="22"/>
      <c r="DA9" s="22">
        <f t="shared" si="65"/>
        <v>0</v>
      </c>
      <c r="DB9" s="22">
        <f t="shared" ref="DB9:DB10" si="125">$G9*CZ9</f>
        <v>0</v>
      </c>
      <c r="DC9" s="22"/>
      <c r="DD9" s="22">
        <f t="shared" si="67"/>
        <v>0</v>
      </c>
      <c r="DE9" s="22">
        <f t="shared" ref="DE9:DE10" si="126">$G9*DC9</f>
        <v>0</v>
      </c>
      <c r="DF9" s="22"/>
      <c r="DG9" s="22">
        <f t="shared" si="69"/>
        <v>0</v>
      </c>
      <c r="DH9" s="22">
        <f t="shared" ref="DH9:DH10" si="127">$G9*DF9</f>
        <v>0</v>
      </c>
      <c r="DI9" s="22"/>
      <c r="DJ9" s="22">
        <f t="shared" si="71"/>
        <v>0</v>
      </c>
      <c r="DK9" s="22">
        <f t="shared" ref="DK9:DK10" si="128">$G9*DI9</f>
        <v>0</v>
      </c>
      <c r="DL9" s="22"/>
      <c r="DM9" s="22">
        <f t="shared" si="73"/>
        <v>0</v>
      </c>
      <c r="DN9" s="22">
        <f t="shared" ref="DN9:DN10" si="129">$G9*DL9</f>
        <v>0</v>
      </c>
      <c r="DO9" s="22"/>
      <c r="DP9" s="22">
        <f t="shared" si="75"/>
        <v>0</v>
      </c>
      <c r="DQ9" s="22">
        <f t="shared" ref="DQ9:DQ10" si="130">$G9*DO9</f>
        <v>0</v>
      </c>
      <c r="DR9" s="22"/>
      <c r="DS9" s="22">
        <f t="shared" si="77"/>
        <v>0</v>
      </c>
      <c r="DT9" s="22">
        <f t="shared" ref="DT9:DT10" si="131">$G9*DR9</f>
        <v>0</v>
      </c>
      <c r="DU9" s="22"/>
      <c r="DV9" s="22">
        <f t="shared" si="79"/>
        <v>0</v>
      </c>
      <c r="DW9" s="22">
        <f t="shared" ref="DW9:DW10" si="132">$G9*DU9</f>
        <v>0</v>
      </c>
      <c r="DX9" s="22"/>
      <c r="DY9" s="22">
        <f t="shared" si="81"/>
        <v>0</v>
      </c>
      <c r="DZ9" s="22">
        <f t="shared" ref="DZ9:DZ10" si="133">$G9*DX9</f>
        <v>0</v>
      </c>
      <c r="EA9" s="22"/>
      <c r="EB9" s="22">
        <f t="shared" si="83"/>
        <v>0</v>
      </c>
      <c r="EC9" s="22">
        <f t="shared" ref="EC9:EC10" si="134">$G9*EA9</f>
        <v>0</v>
      </c>
      <c r="ED9" s="22"/>
      <c r="EE9" s="22">
        <f t="shared" si="85"/>
        <v>0</v>
      </c>
      <c r="EF9" s="22">
        <f t="shared" ref="EF9:EF10" si="135">$G9*ED9</f>
        <v>0</v>
      </c>
      <c r="EG9" s="22"/>
      <c r="EH9" s="22">
        <f t="shared" si="87"/>
        <v>0</v>
      </c>
      <c r="EI9" s="22">
        <f t="shared" ref="EI9:EI10" si="136">$G9*EG9</f>
        <v>0</v>
      </c>
      <c r="EJ9" s="22"/>
      <c r="EK9" s="22">
        <f t="shared" si="89"/>
        <v>0</v>
      </c>
      <c r="EL9" s="22">
        <f t="shared" ref="EL9:EL10" si="137">$G9*EJ9</f>
        <v>0</v>
      </c>
      <c r="EM9" s="22"/>
      <c r="EN9" s="22">
        <f t="shared" si="91"/>
        <v>0</v>
      </c>
      <c r="EO9" s="22">
        <f t="shared" ref="EO9:EO10" si="138">$G9*EM9</f>
        <v>0</v>
      </c>
    </row>
    <row r="10" spans="1:145">
      <c r="A10" s="15">
        <v>14</v>
      </c>
      <c r="B10" s="17" t="s">
        <v>377</v>
      </c>
      <c r="C10" s="16" t="s">
        <v>378</v>
      </c>
      <c r="D10" s="17" t="s">
        <v>379</v>
      </c>
      <c r="E10" s="18" t="s">
        <v>380</v>
      </c>
      <c r="F10" s="19">
        <f t="shared" si="0"/>
        <v>3</v>
      </c>
      <c r="G10" s="20"/>
      <c r="H10" s="21"/>
      <c r="I10" s="22">
        <f t="shared" si="1"/>
        <v>0</v>
      </c>
      <c r="J10" s="22">
        <f t="shared" si="93"/>
        <v>0</v>
      </c>
      <c r="K10" s="22"/>
      <c r="L10" s="22">
        <f t="shared" si="3"/>
        <v>0</v>
      </c>
      <c r="M10" s="22">
        <f t="shared" si="94"/>
        <v>0</v>
      </c>
      <c r="N10" s="22">
        <v>1</v>
      </c>
      <c r="O10" s="22">
        <f t="shared" si="5"/>
        <v>0</v>
      </c>
      <c r="P10" s="22">
        <f t="shared" si="95"/>
        <v>0</v>
      </c>
      <c r="Q10" s="22">
        <v>1</v>
      </c>
      <c r="R10" s="22">
        <f t="shared" si="7"/>
        <v>0</v>
      </c>
      <c r="S10" s="22">
        <f t="shared" si="96"/>
        <v>0</v>
      </c>
      <c r="T10" s="22"/>
      <c r="U10" s="22">
        <f t="shared" si="9"/>
        <v>0</v>
      </c>
      <c r="V10" s="22">
        <f t="shared" si="97"/>
        <v>0</v>
      </c>
      <c r="W10" s="22"/>
      <c r="X10" s="22">
        <f t="shared" si="11"/>
        <v>0</v>
      </c>
      <c r="Y10" s="22">
        <f t="shared" si="98"/>
        <v>0</v>
      </c>
      <c r="Z10" s="22"/>
      <c r="AA10" s="22">
        <f t="shared" si="13"/>
        <v>0</v>
      </c>
      <c r="AB10" s="22">
        <f t="shared" si="99"/>
        <v>0</v>
      </c>
      <c r="AC10" s="22"/>
      <c r="AD10" s="22">
        <f t="shared" si="15"/>
        <v>0</v>
      </c>
      <c r="AE10" s="22">
        <f t="shared" si="100"/>
        <v>0</v>
      </c>
      <c r="AF10" s="22"/>
      <c r="AG10" s="22">
        <f t="shared" si="17"/>
        <v>0</v>
      </c>
      <c r="AH10" s="22">
        <f t="shared" si="101"/>
        <v>0</v>
      </c>
      <c r="AI10" s="22"/>
      <c r="AJ10" s="22">
        <f t="shared" si="19"/>
        <v>0</v>
      </c>
      <c r="AK10" s="22">
        <f t="shared" si="102"/>
        <v>0</v>
      </c>
      <c r="AL10" s="22"/>
      <c r="AM10" s="22">
        <f t="shared" si="21"/>
        <v>0</v>
      </c>
      <c r="AN10" s="22">
        <f t="shared" si="103"/>
        <v>0</v>
      </c>
      <c r="AO10" s="22">
        <v>1</v>
      </c>
      <c r="AP10" s="22">
        <f t="shared" si="23"/>
        <v>2</v>
      </c>
      <c r="AQ10" s="22">
        <f t="shared" si="104"/>
        <v>0</v>
      </c>
      <c r="AR10" s="22"/>
      <c r="AS10" s="22">
        <f t="shared" si="25"/>
        <v>0</v>
      </c>
      <c r="AT10" s="22">
        <f t="shared" si="105"/>
        <v>0</v>
      </c>
      <c r="AU10" s="22"/>
      <c r="AV10" s="22">
        <f t="shared" si="27"/>
        <v>0</v>
      </c>
      <c r="AW10" s="22">
        <f t="shared" si="106"/>
        <v>0</v>
      </c>
      <c r="AX10" s="22">
        <v>2</v>
      </c>
      <c r="AY10" s="22">
        <f t="shared" si="29"/>
        <v>0</v>
      </c>
      <c r="AZ10" s="22">
        <f t="shared" si="107"/>
        <v>0</v>
      </c>
      <c r="BA10" s="22"/>
      <c r="BB10" s="22">
        <f t="shared" si="31"/>
        <v>0</v>
      </c>
      <c r="BC10" s="22">
        <f t="shared" si="108"/>
        <v>0</v>
      </c>
      <c r="BD10" s="22"/>
      <c r="BE10" s="22">
        <f t="shared" si="33"/>
        <v>0</v>
      </c>
      <c r="BF10" s="22">
        <f t="shared" si="109"/>
        <v>0</v>
      </c>
      <c r="BG10" s="22"/>
      <c r="BH10" s="22">
        <f t="shared" si="35"/>
        <v>0</v>
      </c>
      <c r="BI10" s="22">
        <f t="shared" si="110"/>
        <v>0</v>
      </c>
      <c r="BJ10" s="22"/>
      <c r="BK10" s="22">
        <f t="shared" si="37"/>
        <v>0</v>
      </c>
      <c r="BL10" s="22">
        <f t="shared" si="111"/>
        <v>0</v>
      </c>
      <c r="BM10" s="22"/>
      <c r="BN10" s="22">
        <f t="shared" si="39"/>
        <v>0</v>
      </c>
      <c r="BO10" s="22">
        <f t="shared" si="112"/>
        <v>0</v>
      </c>
      <c r="BP10" s="22"/>
      <c r="BQ10" s="22">
        <f t="shared" si="41"/>
        <v>0</v>
      </c>
      <c r="BR10" s="22">
        <f t="shared" si="113"/>
        <v>0</v>
      </c>
      <c r="BS10" s="22">
        <v>1</v>
      </c>
      <c r="BT10" s="22">
        <f t="shared" si="43"/>
        <v>1</v>
      </c>
      <c r="BU10" s="22">
        <f t="shared" si="114"/>
        <v>0</v>
      </c>
      <c r="BV10" s="22"/>
      <c r="BW10" s="22">
        <f t="shared" si="45"/>
        <v>0</v>
      </c>
      <c r="BX10" s="22">
        <f t="shared" si="115"/>
        <v>0</v>
      </c>
      <c r="BY10" s="22"/>
      <c r="BZ10" s="22">
        <f t="shared" si="47"/>
        <v>0</v>
      </c>
      <c r="CA10" s="22">
        <f t="shared" si="116"/>
        <v>0</v>
      </c>
      <c r="CB10" s="22"/>
      <c r="CC10" s="22">
        <f t="shared" si="49"/>
        <v>0</v>
      </c>
      <c r="CD10" s="22">
        <f t="shared" si="117"/>
        <v>0</v>
      </c>
      <c r="CE10" s="22"/>
      <c r="CF10" s="22">
        <f t="shared" si="51"/>
        <v>0</v>
      </c>
      <c r="CG10" s="22">
        <f t="shared" si="118"/>
        <v>0</v>
      </c>
      <c r="CH10" s="22"/>
      <c r="CI10" s="22">
        <f t="shared" si="53"/>
        <v>0</v>
      </c>
      <c r="CJ10" s="22">
        <f t="shared" si="119"/>
        <v>0</v>
      </c>
      <c r="CK10" s="22"/>
      <c r="CL10" s="22">
        <f t="shared" si="55"/>
        <v>0</v>
      </c>
      <c r="CM10" s="22">
        <f t="shared" si="120"/>
        <v>0</v>
      </c>
      <c r="CN10" s="22"/>
      <c r="CO10" s="22">
        <f t="shared" si="57"/>
        <v>0</v>
      </c>
      <c r="CP10" s="22">
        <f t="shared" si="121"/>
        <v>0</v>
      </c>
      <c r="CQ10" s="22"/>
      <c r="CR10" s="22">
        <f t="shared" si="59"/>
        <v>0</v>
      </c>
      <c r="CS10" s="22">
        <f t="shared" si="122"/>
        <v>0</v>
      </c>
      <c r="CT10" s="22"/>
      <c r="CU10" s="22">
        <f t="shared" si="61"/>
        <v>0</v>
      </c>
      <c r="CV10" s="22">
        <f t="shared" si="123"/>
        <v>0</v>
      </c>
      <c r="CW10" s="22"/>
      <c r="CX10" s="22">
        <f t="shared" si="63"/>
        <v>0</v>
      </c>
      <c r="CY10" s="22">
        <f t="shared" si="124"/>
        <v>0</v>
      </c>
      <c r="CZ10" s="22"/>
      <c r="DA10" s="22">
        <f t="shared" si="65"/>
        <v>0</v>
      </c>
      <c r="DB10" s="22">
        <f t="shared" si="125"/>
        <v>0</v>
      </c>
      <c r="DC10" s="22"/>
      <c r="DD10" s="22">
        <f t="shared" si="67"/>
        <v>0</v>
      </c>
      <c r="DE10" s="22">
        <f t="shared" si="126"/>
        <v>0</v>
      </c>
      <c r="DF10" s="22"/>
      <c r="DG10" s="22">
        <f t="shared" si="69"/>
        <v>0</v>
      </c>
      <c r="DH10" s="22">
        <f t="shared" si="127"/>
        <v>0</v>
      </c>
      <c r="DI10" s="22"/>
      <c r="DJ10" s="22">
        <f t="shared" si="71"/>
        <v>0</v>
      </c>
      <c r="DK10" s="22">
        <f t="shared" si="128"/>
        <v>0</v>
      </c>
      <c r="DL10" s="22"/>
      <c r="DM10" s="22">
        <f t="shared" si="73"/>
        <v>0</v>
      </c>
      <c r="DN10" s="22">
        <f t="shared" si="129"/>
        <v>0</v>
      </c>
      <c r="DO10" s="22"/>
      <c r="DP10" s="22">
        <f t="shared" si="75"/>
        <v>0</v>
      </c>
      <c r="DQ10" s="22">
        <f t="shared" si="130"/>
        <v>0</v>
      </c>
      <c r="DR10" s="22"/>
      <c r="DS10" s="22">
        <f t="shared" si="77"/>
        <v>0</v>
      </c>
      <c r="DT10" s="22">
        <f t="shared" si="131"/>
        <v>0</v>
      </c>
      <c r="DU10" s="22"/>
      <c r="DV10" s="22">
        <f t="shared" si="79"/>
        <v>0</v>
      </c>
      <c r="DW10" s="22">
        <f t="shared" si="132"/>
        <v>0</v>
      </c>
      <c r="DX10" s="22"/>
      <c r="DY10" s="22">
        <f t="shared" si="81"/>
        <v>0</v>
      </c>
      <c r="DZ10" s="22">
        <f t="shared" si="133"/>
        <v>0</v>
      </c>
      <c r="EA10" s="22"/>
      <c r="EB10" s="22">
        <f t="shared" si="83"/>
        <v>0</v>
      </c>
      <c r="EC10" s="22">
        <f t="shared" si="134"/>
        <v>0</v>
      </c>
      <c r="ED10" s="22">
        <v>1</v>
      </c>
      <c r="EE10" s="22">
        <f t="shared" si="85"/>
        <v>0</v>
      </c>
      <c r="EF10" s="22">
        <f t="shared" si="135"/>
        <v>0</v>
      </c>
      <c r="EG10" s="22"/>
      <c r="EH10" s="22">
        <f t="shared" si="87"/>
        <v>0</v>
      </c>
      <c r="EI10" s="22">
        <f t="shared" si="136"/>
        <v>0</v>
      </c>
      <c r="EJ10" s="22"/>
      <c r="EK10" s="22">
        <f t="shared" si="89"/>
        <v>0</v>
      </c>
      <c r="EL10" s="22">
        <f t="shared" si="137"/>
        <v>0</v>
      </c>
      <c r="EM10" s="22"/>
      <c r="EN10" s="22">
        <f t="shared" si="91"/>
        <v>0</v>
      </c>
      <c r="EO10" s="22">
        <f t="shared" si="138"/>
        <v>0</v>
      </c>
    </row>
    <row r="11" spans="1:145">
      <c r="A11" s="15">
        <v>17</v>
      </c>
      <c r="B11" s="17" t="s">
        <v>387</v>
      </c>
      <c r="C11" s="17" t="s">
        <v>388</v>
      </c>
      <c r="D11" s="17" t="s">
        <v>389</v>
      </c>
      <c r="E11" s="18" t="s">
        <v>380</v>
      </c>
      <c r="F11" s="19">
        <f t="shared" si="0"/>
        <v>11</v>
      </c>
      <c r="G11" s="20"/>
      <c r="H11" s="21"/>
      <c r="I11" s="22">
        <f t="shared" si="1"/>
        <v>0</v>
      </c>
      <c r="J11" s="22">
        <f>$G11*H11</f>
        <v>0</v>
      </c>
      <c r="K11" s="22"/>
      <c r="L11" s="22">
        <f t="shared" si="3"/>
        <v>0</v>
      </c>
      <c r="M11" s="22">
        <f>$G11*K11</f>
        <v>0</v>
      </c>
      <c r="N11" s="22"/>
      <c r="O11" s="22">
        <f t="shared" si="5"/>
        <v>0</v>
      </c>
      <c r="P11" s="22">
        <f>$G11*N11</f>
        <v>0</v>
      </c>
      <c r="Q11" s="22">
        <v>1</v>
      </c>
      <c r="R11" s="22">
        <f t="shared" si="7"/>
        <v>0</v>
      </c>
      <c r="S11" s="22">
        <f>$G11*Q11</f>
        <v>0</v>
      </c>
      <c r="T11" s="22"/>
      <c r="U11" s="22">
        <f t="shared" si="9"/>
        <v>0</v>
      </c>
      <c r="V11" s="22">
        <f>$G11*T11</f>
        <v>0</v>
      </c>
      <c r="W11" s="22"/>
      <c r="X11" s="22">
        <f t="shared" si="11"/>
        <v>0</v>
      </c>
      <c r="Y11" s="22">
        <f>$G11*W11</f>
        <v>0</v>
      </c>
      <c r="Z11" s="22"/>
      <c r="AA11" s="22">
        <f t="shared" si="13"/>
        <v>0</v>
      </c>
      <c r="AB11" s="22">
        <f>$G11*Z11</f>
        <v>0</v>
      </c>
      <c r="AC11" s="22"/>
      <c r="AD11" s="22">
        <f t="shared" si="15"/>
        <v>0</v>
      </c>
      <c r="AE11" s="22">
        <f>$G11*AC11</f>
        <v>0</v>
      </c>
      <c r="AF11" s="22"/>
      <c r="AG11" s="22">
        <f t="shared" si="17"/>
        <v>0</v>
      </c>
      <c r="AH11" s="22">
        <f>$G11*AF11</f>
        <v>0</v>
      </c>
      <c r="AI11" s="22"/>
      <c r="AJ11" s="22">
        <f t="shared" si="19"/>
        <v>0</v>
      </c>
      <c r="AK11" s="22">
        <f>$G11*AI11</f>
        <v>0</v>
      </c>
      <c r="AL11" s="22"/>
      <c r="AM11" s="22">
        <f t="shared" si="21"/>
        <v>0</v>
      </c>
      <c r="AN11" s="22">
        <f>$G11*AL11</f>
        <v>0</v>
      </c>
      <c r="AO11" s="22">
        <v>1</v>
      </c>
      <c r="AP11" s="22">
        <f t="shared" si="23"/>
        <v>2</v>
      </c>
      <c r="AQ11" s="22">
        <f>$G11*AO11</f>
        <v>0</v>
      </c>
      <c r="AR11" s="22">
        <v>1</v>
      </c>
      <c r="AS11" s="22">
        <f t="shared" si="25"/>
        <v>7</v>
      </c>
      <c r="AT11" s="22">
        <f>$G11*AR11</f>
        <v>0</v>
      </c>
      <c r="AU11" s="22"/>
      <c r="AV11" s="22">
        <f t="shared" si="27"/>
        <v>0</v>
      </c>
      <c r="AW11" s="22">
        <f>$G11*AU11</f>
        <v>0</v>
      </c>
      <c r="AX11" s="22"/>
      <c r="AY11" s="22">
        <f t="shared" si="29"/>
        <v>0</v>
      </c>
      <c r="AZ11" s="22">
        <f>$G11*AX11</f>
        <v>0</v>
      </c>
      <c r="BA11" s="22"/>
      <c r="BB11" s="22">
        <f t="shared" si="31"/>
        <v>0</v>
      </c>
      <c r="BC11" s="22">
        <f>$G11*BA11</f>
        <v>0</v>
      </c>
      <c r="BD11" s="22"/>
      <c r="BE11" s="22">
        <f t="shared" si="33"/>
        <v>0</v>
      </c>
      <c r="BF11" s="22">
        <f>$G11*BD11</f>
        <v>0</v>
      </c>
      <c r="BG11" s="22"/>
      <c r="BH11" s="22">
        <f t="shared" si="35"/>
        <v>0</v>
      </c>
      <c r="BI11" s="22">
        <f>$G11*BG11</f>
        <v>0</v>
      </c>
      <c r="BJ11" s="22"/>
      <c r="BK11" s="22">
        <f t="shared" si="37"/>
        <v>0</v>
      </c>
      <c r="BL11" s="22">
        <f>$G11*BJ11</f>
        <v>0</v>
      </c>
      <c r="BM11" s="22"/>
      <c r="BN11" s="22">
        <f t="shared" si="39"/>
        <v>0</v>
      </c>
      <c r="BO11" s="22">
        <f>$G11*BM11</f>
        <v>0</v>
      </c>
      <c r="BP11" s="22"/>
      <c r="BQ11" s="22">
        <f t="shared" si="41"/>
        <v>0</v>
      </c>
      <c r="BR11" s="22">
        <f>$G11*BP11</f>
        <v>0</v>
      </c>
      <c r="BS11" s="22"/>
      <c r="BT11" s="22">
        <f t="shared" si="43"/>
        <v>0</v>
      </c>
      <c r="BU11" s="22">
        <f>$G11*BS11</f>
        <v>0</v>
      </c>
      <c r="BV11" s="22"/>
      <c r="BW11" s="22">
        <f t="shared" si="45"/>
        <v>0</v>
      </c>
      <c r="BX11" s="22">
        <f>$G11*BV11</f>
        <v>0</v>
      </c>
      <c r="BY11" s="22"/>
      <c r="BZ11" s="22">
        <f t="shared" si="47"/>
        <v>0</v>
      </c>
      <c r="CA11" s="22">
        <f>$G11*BY11</f>
        <v>0</v>
      </c>
      <c r="CB11" s="22"/>
      <c r="CC11" s="22">
        <f t="shared" si="49"/>
        <v>0</v>
      </c>
      <c r="CD11" s="22">
        <f>$G11*CB11</f>
        <v>0</v>
      </c>
      <c r="CE11" s="22"/>
      <c r="CF11" s="22">
        <f t="shared" si="51"/>
        <v>0</v>
      </c>
      <c r="CG11" s="22">
        <f>$G11*CE11</f>
        <v>0</v>
      </c>
      <c r="CH11" s="22"/>
      <c r="CI11" s="22">
        <f t="shared" si="53"/>
        <v>0</v>
      </c>
      <c r="CJ11" s="22">
        <f>$G11*CH11</f>
        <v>0</v>
      </c>
      <c r="CK11" s="22"/>
      <c r="CL11" s="22">
        <f t="shared" si="55"/>
        <v>0</v>
      </c>
      <c r="CM11" s="22">
        <f>$G11*CK11</f>
        <v>0</v>
      </c>
      <c r="CN11" s="22"/>
      <c r="CO11" s="22">
        <f t="shared" si="57"/>
        <v>0</v>
      </c>
      <c r="CP11" s="22">
        <f>$G11*CN11</f>
        <v>0</v>
      </c>
      <c r="CQ11" s="22"/>
      <c r="CR11" s="22">
        <f t="shared" si="59"/>
        <v>0</v>
      </c>
      <c r="CS11" s="22">
        <f>$G11*CQ11</f>
        <v>0</v>
      </c>
      <c r="CT11" s="22">
        <v>1</v>
      </c>
      <c r="CU11" s="22">
        <f t="shared" si="61"/>
        <v>1</v>
      </c>
      <c r="CV11" s="22">
        <f>$G11*CT11</f>
        <v>0</v>
      </c>
      <c r="CW11" s="22"/>
      <c r="CX11" s="22">
        <f t="shared" si="63"/>
        <v>0</v>
      </c>
      <c r="CY11" s="22">
        <f>$G11*CW11</f>
        <v>0</v>
      </c>
      <c r="CZ11" s="22"/>
      <c r="DA11" s="22">
        <f t="shared" si="65"/>
        <v>0</v>
      </c>
      <c r="DB11" s="22">
        <f>$G11*CZ11</f>
        <v>0</v>
      </c>
      <c r="DC11" s="22"/>
      <c r="DD11" s="22">
        <f t="shared" si="67"/>
        <v>0</v>
      </c>
      <c r="DE11" s="22">
        <f>$G11*DC11</f>
        <v>0</v>
      </c>
      <c r="DF11" s="22"/>
      <c r="DG11" s="22">
        <f t="shared" si="69"/>
        <v>0</v>
      </c>
      <c r="DH11" s="22">
        <f>$G11*DF11</f>
        <v>0</v>
      </c>
      <c r="DI11" s="22"/>
      <c r="DJ11" s="22">
        <f t="shared" si="71"/>
        <v>0</v>
      </c>
      <c r="DK11" s="22">
        <f>$G11*DI11</f>
        <v>0</v>
      </c>
      <c r="DL11" s="22"/>
      <c r="DM11" s="22">
        <f t="shared" si="73"/>
        <v>0</v>
      </c>
      <c r="DN11" s="22">
        <f>$G11*DL11</f>
        <v>0</v>
      </c>
      <c r="DO11" s="22"/>
      <c r="DP11" s="22">
        <f t="shared" si="75"/>
        <v>0</v>
      </c>
      <c r="DQ11" s="22">
        <f>$G11*DO11</f>
        <v>0</v>
      </c>
      <c r="DR11" s="22"/>
      <c r="DS11" s="22">
        <f t="shared" si="77"/>
        <v>0</v>
      </c>
      <c r="DT11" s="22">
        <f>$G11*DR11</f>
        <v>0</v>
      </c>
      <c r="DU11" s="22"/>
      <c r="DV11" s="22">
        <f t="shared" si="79"/>
        <v>0</v>
      </c>
      <c r="DW11" s="22">
        <f>$G11*DU11</f>
        <v>0</v>
      </c>
      <c r="DX11" s="22"/>
      <c r="DY11" s="22">
        <f t="shared" si="81"/>
        <v>0</v>
      </c>
      <c r="DZ11" s="22">
        <f>$G11*DX11</f>
        <v>0</v>
      </c>
      <c r="EA11" s="22"/>
      <c r="EB11" s="22">
        <f t="shared" si="83"/>
        <v>0</v>
      </c>
      <c r="EC11" s="22">
        <f>$G11*EA11</f>
        <v>0</v>
      </c>
      <c r="ED11" s="22">
        <v>1</v>
      </c>
      <c r="EE11" s="22">
        <f t="shared" si="85"/>
        <v>0</v>
      </c>
      <c r="EF11" s="22">
        <f>$G11*ED11</f>
        <v>0</v>
      </c>
      <c r="EG11" s="22">
        <v>1</v>
      </c>
      <c r="EH11" s="22">
        <f t="shared" si="87"/>
        <v>1</v>
      </c>
      <c r="EI11" s="22">
        <f>$G11*EG11</f>
        <v>0</v>
      </c>
      <c r="EJ11" s="22"/>
      <c r="EK11" s="22">
        <f t="shared" si="89"/>
        <v>0</v>
      </c>
      <c r="EL11" s="22">
        <f>$G11*EJ11</f>
        <v>0</v>
      </c>
      <c r="EM11" s="22"/>
      <c r="EN11" s="22">
        <f t="shared" si="91"/>
        <v>0</v>
      </c>
      <c r="EO11" s="22">
        <f>$G11*EM11</f>
        <v>0</v>
      </c>
    </row>
    <row r="12" spans="1:145">
      <c r="A12" s="15">
        <v>20</v>
      </c>
      <c r="B12" s="17" t="s">
        <v>390</v>
      </c>
      <c r="C12" s="17" t="s">
        <v>391</v>
      </c>
      <c r="D12" s="17" t="s">
        <v>392</v>
      </c>
      <c r="E12" s="16"/>
      <c r="F12" s="19">
        <f t="shared" si="0"/>
        <v>10</v>
      </c>
      <c r="G12" s="20"/>
      <c r="H12" s="21"/>
      <c r="I12" s="22">
        <f t="shared" si="1"/>
        <v>0</v>
      </c>
      <c r="J12" s="22">
        <f t="shared" ref="J12:J13" si="139">$G12*H12</f>
        <v>0</v>
      </c>
      <c r="K12" s="22"/>
      <c r="L12" s="22">
        <f t="shared" si="3"/>
        <v>0</v>
      </c>
      <c r="M12" s="22">
        <f t="shared" ref="M12:M13" si="140">$G12*K12</f>
        <v>0</v>
      </c>
      <c r="N12" s="22"/>
      <c r="O12" s="22">
        <f t="shared" si="5"/>
        <v>0</v>
      </c>
      <c r="P12" s="22">
        <f t="shared" ref="P12:P13" si="141">$G12*N12</f>
        <v>0</v>
      </c>
      <c r="Q12" s="22">
        <v>1</v>
      </c>
      <c r="R12" s="22">
        <f t="shared" si="7"/>
        <v>0</v>
      </c>
      <c r="S12" s="22">
        <f t="shared" ref="S12:S13" si="142">$G12*Q12</f>
        <v>0</v>
      </c>
      <c r="T12" s="22"/>
      <c r="U12" s="22">
        <f t="shared" si="9"/>
        <v>0</v>
      </c>
      <c r="V12" s="22">
        <f t="shared" ref="V12:V13" si="143">$G12*T12</f>
        <v>0</v>
      </c>
      <c r="W12" s="22"/>
      <c r="X12" s="22">
        <f t="shared" si="11"/>
        <v>0</v>
      </c>
      <c r="Y12" s="22">
        <f t="shared" ref="Y12:Y13" si="144">$G12*W12</f>
        <v>0</v>
      </c>
      <c r="Z12" s="22"/>
      <c r="AA12" s="22">
        <f t="shared" si="13"/>
        <v>0</v>
      </c>
      <c r="AB12" s="22">
        <f t="shared" ref="AB12:AB13" si="145">$G12*Z12</f>
        <v>0</v>
      </c>
      <c r="AC12" s="22">
        <v>1</v>
      </c>
      <c r="AD12" s="22">
        <f t="shared" si="15"/>
        <v>0</v>
      </c>
      <c r="AE12" s="22">
        <f t="shared" ref="AE12:AE13" si="146">$G12*AC12</f>
        <v>0</v>
      </c>
      <c r="AF12" s="22">
        <v>1</v>
      </c>
      <c r="AG12" s="22">
        <f t="shared" si="17"/>
        <v>0</v>
      </c>
      <c r="AH12" s="22">
        <f t="shared" ref="AH12:AH13" si="147">$G12*AF12</f>
        <v>0</v>
      </c>
      <c r="AI12" s="22">
        <v>1</v>
      </c>
      <c r="AJ12" s="22">
        <f t="shared" si="19"/>
        <v>0</v>
      </c>
      <c r="AK12" s="22">
        <f t="shared" ref="AK12:AK13" si="148">$G12*AI12</f>
        <v>0</v>
      </c>
      <c r="AL12" s="22"/>
      <c r="AM12" s="22">
        <f t="shared" si="21"/>
        <v>0</v>
      </c>
      <c r="AN12" s="22">
        <f t="shared" ref="AN12:AN13" si="149">$G12*AL12</f>
        <v>0</v>
      </c>
      <c r="AO12" s="22">
        <v>1</v>
      </c>
      <c r="AP12" s="22">
        <f t="shared" si="23"/>
        <v>2</v>
      </c>
      <c r="AQ12" s="22">
        <f t="shared" ref="AQ12:AQ13" si="150">$G12*AO12</f>
        <v>0</v>
      </c>
      <c r="AR12" s="22">
        <v>1</v>
      </c>
      <c r="AS12" s="22">
        <f t="shared" si="25"/>
        <v>7</v>
      </c>
      <c r="AT12" s="22">
        <f t="shared" ref="AT12:AT13" si="151">$G12*AR12</f>
        <v>0</v>
      </c>
      <c r="AU12" s="22"/>
      <c r="AV12" s="22">
        <f t="shared" si="27"/>
        <v>0</v>
      </c>
      <c r="AW12" s="22">
        <f t="shared" ref="AW12:AW13" si="152">$G12*AU12</f>
        <v>0</v>
      </c>
      <c r="AX12" s="22"/>
      <c r="AY12" s="22">
        <f t="shared" si="29"/>
        <v>0</v>
      </c>
      <c r="AZ12" s="22">
        <f t="shared" ref="AZ12:AZ13" si="153">$G12*AX12</f>
        <v>0</v>
      </c>
      <c r="BA12" s="22"/>
      <c r="BB12" s="22">
        <f t="shared" si="31"/>
        <v>0</v>
      </c>
      <c r="BC12" s="22">
        <f t="shared" ref="BC12:BC13" si="154">$G12*BA12</f>
        <v>0</v>
      </c>
      <c r="BD12" s="22"/>
      <c r="BE12" s="22">
        <f t="shared" si="33"/>
        <v>0</v>
      </c>
      <c r="BF12" s="22">
        <f t="shared" ref="BF12:BF13" si="155">$G12*BD12</f>
        <v>0</v>
      </c>
      <c r="BG12" s="22"/>
      <c r="BH12" s="22">
        <f t="shared" si="35"/>
        <v>0</v>
      </c>
      <c r="BI12" s="22">
        <f t="shared" ref="BI12:BI13" si="156">$G12*BG12</f>
        <v>0</v>
      </c>
      <c r="BJ12" s="22"/>
      <c r="BK12" s="22">
        <f t="shared" si="37"/>
        <v>0</v>
      </c>
      <c r="BL12" s="22">
        <f t="shared" ref="BL12:BL13" si="157">$G12*BJ12</f>
        <v>0</v>
      </c>
      <c r="BM12" s="22"/>
      <c r="BN12" s="22">
        <f t="shared" si="39"/>
        <v>0</v>
      </c>
      <c r="BO12" s="22">
        <f t="shared" ref="BO12:BO13" si="158">$G12*BM12</f>
        <v>0</v>
      </c>
      <c r="BP12" s="22"/>
      <c r="BQ12" s="22">
        <f t="shared" si="41"/>
        <v>0</v>
      </c>
      <c r="BR12" s="22">
        <f t="shared" ref="BR12:BR13" si="159">$G12*BP12</f>
        <v>0</v>
      </c>
      <c r="BS12" s="22"/>
      <c r="BT12" s="22">
        <f t="shared" si="43"/>
        <v>0</v>
      </c>
      <c r="BU12" s="22">
        <f t="shared" ref="BU12:BU13" si="160">$G12*BS12</f>
        <v>0</v>
      </c>
      <c r="BV12" s="22"/>
      <c r="BW12" s="22">
        <f t="shared" si="45"/>
        <v>0</v>
      </c>
      <c r="BX12" s="22">
        <f t="shared" ref="BX12:BX13" si="161">$G12*BV12</f>
        <v>0</v>
      </c>
      <c r="BY12" s="22"/>
      <c r="BZ12" s="22">
        <f t="shared" si="47"/>
        <v>0</v>
      </c>
      <c r="CA12" s="22">
        <f t="shared" ref="CA12:CA13" si="162">$G12*BY12</f>
        <v>0</v>
      </c>
      <c r="CB12" s="22"/>
      <c r="CC12" s="22">
        <f t="shared" si="49"/>
        <v>0</v>
      </c>
      <c r="CD12" s="22">
        <f t="shared" ref="CD12:CD13" si="163">$G12*CB12</f>
        <v>0</v>
      </c>
      <c r="CE12" s="22"/>
      <c r="CF12" s="22">
        <f t="shared" si="51"/>
        <v>0</v>
      </c>
      <c r="CG12" s="22">
        <f t="shared" ref="CG12:CG13" si="164">$G12*CE12</f>
        <v>0</v>
      </c>
      <c r="CH12" s="22"/>
      <c r="CI12" s="22">
        <f t="shared" si="53"/>
        <v>0</v>
      </c>
      <c r="CJ12" s="22">
        <f t="shared" ref="CJ12:CJ13" si="165">$G12*CH12</f>
        <v>0</v>
      </c>
      <c r="CK12" s="22"/>
      <c r="CL12" s="22">
        <f t="shared" si="55"/>
        <v>0</v>
      </c>
      <c r="CM12" s="22">
        <f t="shared" ref="CM12:CM13" si="166">$G12*CK12</f>
        <v>0</v>
      </c>
      <c r="CN12" s="22"/>
      <c r="CO12" s="22">
        <f t="shared" si="57"/>
        <v>0</v>
      </c>
      <c r="CP12" s="22">
        <f t="shared" ref="CP12:CP13" si="167">$G12*CN12</f>
        <v>0</v>
      </c>
      <c r="CQ12" s="22"/>
      <c r="CR12" s="22">
        <f t="shared" si="59"/>
        <v>0</v>
      </c>
      <c r="CS12" s="22">
        <f t="shared" ref="CS12:CS13" si="168">$G12*CQ12</f>
        <v>0</v>
      </c>
      <c r="CT12" s="22"/>
      <c r="CU12" s="22">
        <f t="shared" si="61"/>
        <v>0</v>
      </c>
      <c r="CV12" s="22">
        <f t="shared" ref="CV12:CV13" si="169">$G12*CT12</f>
        <v>0</v>
      </c>
      <c r="CW12" s="22"/>
      <c r="CX12" s="22">
        <f t="shared" si="63"/>
        <v>0</v>
      </c>
      <c r="CY12" s="22">
        <f t="shared" ref="CY12:CY13" si="170">$G12*CW12</f>
        <v>0</v>
      </c>
      <c r="CZ12" s="22"/>
      <c r="DA12" s="22">
        <f t="shared" si="65"/>
        <v>0</v>
      </c>
      <c r="DB12" s="22">
        <f t="shared" ref="DB12:DB13" si="171">$G12*CZ12</f>
        <v>0</v>
      </c>
      <c r="DC12" s="22"/>
      <c r="DD12" s="22">
        <f t="shared" si="67"/>
        <v>0</v>
      </c>
      <c r="DE12" s="22">
        <f t="shared" ref="DE12:DE13" si="172">$G12*DC12</f>
        <v>0</v>
      </c>
      <c r="DF12" s="22"/>
      <c r="DG12" s="22">
        <f t="shared" si="69"/>
        <v>0</v>
      </c>
      <c r="DH12" s="22">
        <f t="shared" ref="DH12:DH13" si="173">$G12*DF12</f>
        <v>0</v>
      </c>
      <c r="DI12" s="22"/>
      <c r="DJ12" s="22">
        <f t="shared" si="71"/>
        <v>0</v>
      </c>
      <c r="DK12" s="22">
        <f t="shared" ref="DK12:DK13" si="174">$G12*DI12</f>
        <v>0</v>
      </c>
      <c r="DL12" s="22"/>
      <c r="DM12" s="22">
        <f t="shared" si="73"/>
        <v>0</v>
      </c>
      <c r="DN12" s="22">
        <f t="shared" ref="DN12:DN13" si="175">$G12*DL12</f>
        <v>0</v>
      </c>
      <c r="DO12" s="22"/>
      <c r="DP12" s="22">
        <f t="shared" si="75"/>
        <v>0</v>
      </c>
      <c r="DQ12" s="22">
        <f t="shared" ref="DQ12:DQ13" si="176">$G12*DO12</f>
        <v>0</v>
      </c>
      <c r="DR12" s="22"/>
      <c r="DS12" s="22">
        <f t="shared" si="77"/>
        <v>0</v>
      </c>
      <c r="DT12" s="22">
        <f t="shared" ref="DT12:DT13" si="177">$G12*DR12</f>
        <v>0</v>
      </c>
      <c r="DU12" s="22"/>
      <c r="DV12" s="22">
        <f t="shared" si="79"/>
        <v>0</v>
      </c>
      <c r="DW12" s="22">
        <f t="shared" ref="DW12:DW13" si="178">$G12*DU12</f>
        <v>0</v>
      </c>
      <c r="DX12" s="22"/>
      <c r="DY12" s="22">
        <f t="shared" si="81"/>
        <v>0</v>
      </c>
      <c r="DZ12" s="22">
        <f t="shared" ref="DZ12:DZ13" si="179">$G12*DX12</f>
        <v>0</v>
      </c>
      <c r="EA12" s="22"/>
      <c r="EB12" s="22">
        <f t="shared" si="83"/>
        <v>0</v>
      </c>
      <c r="EC12" s="22">
        <f t="shared" ref="EC12:EC13" si="180">$G12*EA12</f>
        <v>0</v>
      </c>
      <c r="ED12" s="22"/>
      <c r="EE12" s="22">
        <f t="shared" si="85"/>
        <v>0</v>
      </c>
      <c r="EF12" s="22">
        <f t="shared" ref="EF12:EF13" si="181">$G12*ED12</f>
        <v>0</v>
      </c>
      <c r="EG12" s="22">
        <v>1</v>
      </c>
      <c r="EH12" s="22">
        <f t="shared" si="87"/>
        <v>1</v>
      </c>
      <c r="EI12" s="22">
        <f t="shared" ref="EI12:EI13" si="182">$G12*EG12</f>
        <v>0</v>
      </c>
      <c r="EJ12" s="22"/>
      <c r="EK12" s="22">
        <f t="shared" si="89"/>
        <v>0</v>
      </c>
      <c r="EL12" s="22">
        <f t="shared" ref="EL12:EL13" si="183">$G12*EJ12</f>
        <v>0</v>
      </c>
      <c r="EM12" s="22"/>
      <c r="EN12" s="22">
        <f t="shared" si="91"/>
        <v>0</v>
      </c>
      <c r="EO12" s="22">
        <f t="shared" ref="EO12:EO13" si="184">$G12*EM12</f>
        <v>0</v>
      </c>
    </row>
    <row r="13" spans="1:145">
      <c r="A13" s="15">
        <v>21</v>
      </c>
      <c r="B13" s="17" t="s">
        <v>393</v>
      </c>
      <c r="C13" s="17" t="s">
        <v>394</v>
      </c>
      <c r="D13" s="17" t="s">
        <v>395</v>
      </c>
      <c r="E13" s="15"/>
      <c r="F13" s="19">
        <f t="shared" si="0"/>
        <v>11</v>
      </c>
      <c r="G13" s="20"/>
      <c r="H13" s="21"/>
      <c r="I13" s="22">
        <f t="shared" si="1"/>
        <v>0</v>
      </c>
      <c r="J13" s="22">
        <f t="shared" si="139"/>
        <v>0</v>
      </c>
      <c r="K13" s="22"/>
      <c r="L13" s="22">
        <f t="shared" si="3"/>
        <v>0</v>
      </c>
      <c r="M13" s="22">
        <f t="shared" si="140"/>
        <v>0</v>
      </c>
      <c r="N13" s="22"/>
      <c r="O13" s="22">
        <f t="shared" si="5"/>
        <v>0</v>
      </c>
      <c r="P13" s="22">
        <f t="shared" si="141"/>
        <v>0</v>
      </c>
      <c r="Q13" s="22">
        <v>1</v>
      </c>
      <c r="R13" s="22">
        <f t="shared" si="7"/>
        <v>0</v>
      </c>
      <c r="S13" s="22">
        <f t="shared" si="142"/>
        <v>0</v>
      </c>
      <c r="T13" s="22"/>
      <c r="U13" s="22">
        <f t="shared" si="9"/>
        <v>0</v>
      </c>
      <c r="V13" s="22">
        <f t="shared" si="143"/>
        <v>0</v>
      </c>
      <c r="W13" s="22"/>
      <c r="X13" s="22">
        <f t="shared" si="11"/>
        <v>0</v>
      </c>
      <c r="Y13" s="22">
        <f t="shared" si="144"/>
        <v>0</v>
      </c>
      <c r="Z13" s="22"/>
      <c r="AA13" s="22">
        <f t="shared" si="13"/>
        <v>0</v>
      </c>
      <c r="AB13" s="22">
        <f t="shared" si="145"/>
        <v>0</v>
      </c>
      <c r="AC13" s="22">
        <v>1</v>
      </c>
      <c r="AD13" s="22">
        <f t="shared" si="15"/>
        <v>0</v>
      </c>
      <c r="AE13" s="22">
        <f t="shared" si="146"/>
        <v>0</v>
      </c>
      <c r="AF13" s="22">
        <v>1</v>
      </c>
      <c r="AG13" s="22">
        <f t="shared" si="17"/>
        <v>0</v>
      </c>
      <c r="AH13" s="22">
        <f t="shared" si="147"/>
        <v>0</v>
      </c>
      <c r="AI13" s="22">
        <v>1</v>
      </c>
      <c r="AJ13" s="22">
        <f t="shared" si="19"/>
        <v>0</v>
      </c>
      <c r="AK13" s="22">
        <f t="shared" si="148"/>
        <v>0</v>
      </c>
      <c r="AL13" s="22">
        <v>1</v>
      </c>
      <c r="AM13" s="22">
        <f t="shared" si="21"/>
        <v>1</v>
      </c>
      <c r="AN13" s="22">
        <f t="shared" si="149"/>
        <v>0</v>
      </c>
      <c r="AO13" s="22">
        <v>1</v>
      </c>
      <c r="AP13" s="22">
        <f t="shared" si="23"/>
        <v>2</v>
      </c>
      <c r="AQ13" s="22">
        <f t="shared" si="150"/>
        <v>0</v>
      </c>
      <c r="AR13" s="22">
        <v>1</v>
      </c>
      <c r="AS13" s="22">
        <f t="shared" si="25"/>
        <v>7</v>
      </c>
      <c r="AT13" s="22">
        <f t="shared" si="151"/>
        <v>0</v>
      </c>
      <c r="AU13" s="22"/>
      <c r="AV13" s="22">
        <f t="shared" si="27"/>
        <v>0</v>
      </c>
      <c r="AW13" s="22">
        <f t="shared" si="152"/>
        <v>0</v>
      </c>
      <c r="AX13" s="22"/>
      <c r="AY13" s="22">
        <f t="shared" si="29"/>
        <v>0</v>
      </c>
      <c r="AZ13" s="22">
        <f t="shared" si="153"/>
        <v>0</v>
      </c>
      <c r="BA13" s="22"/>
      <c r="BB13" s="22">
        <f t="shared" si="31"/>
        <v>0</v>
      </c>
      <c r="BC13" s="22">
        <f t="shared" si="154"/>
        <v>0</v>
      </c>
      <c r="BD13" s="22"/>
      <c r="BE13" s="22">
        <f t="shared" si="33"/>
        <v>0</v>
      </c>
      <c r="BF13" s="22">
        <f t="shared" si="155"/>
        <v>0</v>
      </c>
      <c r="BG13" s="22"/>
      <c r="BH13" s="22">
        <f t="shared" si="35"/>
        <v>0</v>
      </c>
      <c r="BI13" s="22">
        <f t="shared" si="156"/>
        <v>0</v>
      </c>
      <c r="BJ13" s="22"/>
      <c r="BK13" s="22">
        <f t="shared" si="37"/>
        <v>0</v>
      </c>
      <c r="BL13" s="22">
        <f t="shared" si="157"/>
        <v>0</v>
      </c>
      <c r="BM13" s="22"/>
      <c r="BN13" s="22">
        <f t="shared" si="39"/>
        <v>0</v>
      </c>
      <c r="BO13" s="22">
        <f t="shared" si="158"/>
        <v>0</v>
      </c>
      <c r="BP13" s="22"/>
      <c r="BQ13" s="22">
        <f t="shared" si="41"/>
        <v>0</v>
      </c>
      <c r="BR13" s="22">
        <f t="shared" si="159"/>
        <v>0</v>
      </c>
      <c r="BS13" s="22"/>
      <c r="BT13" s="22">
        <f t="shared" si="43"/>
        <v>0</v>
      </c>
      <c r="BU13" s="22">
        <f t="shared" si="160"/>
        <v>0</v>
      </c>
      <c r="BV13" s="22"/>
      <c r="BW13" s="22">
        <f t="shared" si="45"/>
        <v>0</v>
      </c>
      <c r="BX13" s="22">
        <f t="shared" si="161"/>
        <v>0</v>
      </c>
      <c r="BY13" s="22"/>
      <c r="BZ13" s="22">
        <f t="shared" si="47"/>
        <v>0</v>
      </c>
      <c r="CA13" s="22">
        <f t="shared" si="162"/>
        <v>0</v>
      </c>
      <c r="CB13" s="22"/>
      <c r="CC13" s="22">
        <f t="shared" si="49"/>
        <v>0</v>
      </c>
      <c r="CD13" s="22">
        <f t="shared" si="163"/>
        <v>0</v>
      </c>
      <c r="CE13" s="22"/>
      <c r="CF13" s="22">
        <f t="shared" si="51"/>
        <v>0</v>
      </c>
      <c r="CG13" s="22">
        <f t="shared" si="164"/>
        <v>0</v>
      </c>
      <c r="CH13" s="22"/>
      <c r="CI13" s="22">
        <f t="shared" si="53"/>
        <v>0</v>
      </c>
      <c r="CJ13" s="22">
        <f t="shared" si="165"/>
        <v>0</v>
      </c>
      <c r="CK13" s="22"/>
      <c r="CL13" s="22">
        <f t="shared" si="55"/>
        <v>0</v>
      </c>
      <c r="CM13" s="22">
        <f t="shared" si="166"/>
        <v>0</v>
      </c>
      <c r="CN13" s="22"/>
      <c r="CO13" s="22">
        <f t="shared" si="57"/>
        <v>0</v>
      </c>
      <c r="CP13" s="22">
        <f t="shared" si="167"/>
        <v>0</v>
      </c>
      <c r="CQ13" s="22"/>
      <c r="CR13" s="22">
        <f t="shared" si="59"/>
        <v>0</v>
      </c>
      <c r="CS13" s="22">
        <f t="shared" si="168"/>
        <v>0</v>
      </c>
      <c r="CT13" s="22"/>
      <c r="CU13" s="22">
        <f t="shared" si="61"/>
        <v>0</v>
      </c>
      <c r="CV13" s="22">
        <f t="shared" si="169"/>
        <v>0</v>
      </c>
      <c r="CW13" s="22"/>
      <c r="CX13" s="22">
        <f t="shared" si="63"/>
        <v>0</v>
      </c>
      <c r="CY13" s="22">
        <f t="shared" si="170"/>
        <v>0</v>
      </c>
      <c r="CZ13" s="22"/>
      <c r="DA13" s="22">
        <f t="shared" si="65"/>
        <v>0</v>
      </c>
      <c r="DB13" s="22">
        <f t="shared" si="171"/>
        <v>0</v>
      </c>
      <c r="DC13" s="22"/>
      <c r="DD13" s="22">
        <f t="shared" si="67"/>
        <v>0</v>
      </c>
      <c r="DE13" s="22">
        <f t="shared" si="172"/>
        <v>0</v>
      </c>
      <c r="DF13" s="22"/>
      <c r="DG13" s="22">
        <f t="shared" si="69"/>
        <v>0</v>
      </c>
      <c r="DH13" s="22">
        <f t="shared" si="173"/>
        <v>0</v>
      </c>
      <c r="DI13" s="22"/>
      <c r="DJ13" s="22">
        <f t="shared" si="71"/>
        <v>0</v>
      </c>
      <c r="DK13" s="22">
        <f t="shared" si="174"/>
        <v>0</v>
      </c>
      <c r="DL13" s="22"/>
      <c r="DM13" s="22">
        <f t="shared" si="73"/>
        <v>0</v>
      </c>
      <c r="DN13" s="22">
        <f t="shared" si="175"/>
        <v>0</v>
      </c>
      <c r="DO13" s="22"/>
      <c r="DP13" s="22">
        <f t="shared" si="75"/>
        <v>0</v>
      </c>
      <c r="DQ13" s="22">
        <f t="shared" si="176"/>
        <v>0</v>
      </c>
      <c r="DR13" s="22"/>
      <c r="DS13" s="22">
        <f t="shared" si="77"/>
        <v>0</v>
      </c>
      <c r="DT13" s="22">
        <f t="shared" si="177"/>
        <v>0</v>
      </c>
      <c r="DU13" s="22"/>
      <c r="DV13" s="22">
        <f t="shared" si="79"/>
        <v>0</v>
      </c>
      <c r="DW13" s="22">
        <f t="shared" si="178"/>
        <v>0</v>
      </c>
      <c r="DX13" s="22"/>
      <c r="DY13" s="22">
        <f t="shared" si="81"/>
        <v>0</v>
      </c>
      <c r="DZ13" s="22">
        <f t="shared" si="179"/>
        <v>0</v>
      </c>
      <c r="EA13" s="22">
        <v>1</v>
      </c>
      <c r="EB13" s="22">
        <f t="shared" si="83"/>
        <v>0</v>
      </c>
      <c r="EC13" s="22">
        <f t="shared" si="180"/>
        <v>0</v>
      </c>
      <c r="ED13" s="22">
        <v>1</v>
      </c>
      <c r="EE13" s="22">
        <f t="shared" si="85"/>
        <v>0</v>
      </c>
      <c r="EF13" s="22">
        <f t="shared" si="181"/>
        <v>0</v>
      </c>
      <c r="EG13" s="22">
        <v>1</v>
      </c>
      <c r="EH13" s="22">
        <f t="shared" si="87"/>
        <v>1</v>
      </c>
      <c r="EI13" s="22">
        <f t="shared" si="182"/>
        <v>0</v>
      </c>
      <c r="EJ13" s="22"/>
      <c r="EK13" s="22">
        <f t="shared" si="89"/>
        <v>0</v>
      </c>
      <c r="EL13" s="22">
        <f t="shared" si="183"/>
        <v>0</v>
      </c>
      <c r="EM13" s="22"/>
      <c r="EN13" s="22">
        <f t="shared" si="91"/>
        <v>0</v>
      </c>
      <c r="EO13" s="22">
        <f t="shared" si="184"/>
        <v>0</v>
      </c>
    </row>
    <row r="14" spans="1:145">
      <c r="A14" s="15">
        <v>25</v>
      </c>
      <c r="B14" s="16" t="s">
        <v>396</v>
      </c>
      <c r="C14" s="17" t="s">
        <v>397</v>
      </c>
      <c r="D14" s="16" t="s">
        <v>398</v>
      </c>
      <c r="E14" s="15" t="s">
        <v>399</v>
      </c>
      <c r="F14" s="19">
        <f t="shared" si="0"/>
        <v>17</v>
      </c>
      <c r="G14" s="20"/>
      <c r="H14" s="21"/>
      <c r="I14" s="22">
        <f t="shared" si="1"/>
        <v>0</v>
      </c>
      <c r="J14" s="22">
        <f>$G14*H14</f>
        <v>0</v>
      </c>
      <c r="K14" s="22"/>
      <c r="L14" s="22">
        <f t="shared" si="3"/>
        <v>0</v>
      </c>
      <c r="M14" s="22">
        <f>$G14*K14</f>
        <v>0</v>
      </c>
      <c r="N14" s="22"/>
      <c r="O14" s="22">
        <f t="shared" si="5"/>
        <v>0</v>
      </c>
      <c r="P14" s="22">
        <f>$G14*N14</f>
        <v>0</v>
      </c>
      <c r="Q14" s="22"/>
      <c r="R14" s="22">
        <f t="shared" si="7"/>
        <v>0</v>
      </c>
      <c r="S14" s="22">
        <f>$G14*Q14</f>
        <v>0</v>
      </c>
      <c r="T14" s="22"/>
      <c r="U14" s="22">
        <f t="shared" si="9"/>
        <v>0</v>
      </c>
      <c r="V14" s="22">
        <f>$G14*T14</f>
        <v>0</v>
      </c>
      <c r="W14" s="22">
        <v>1</v>
      </c>
      <c r="X14" s="22">
        <f t="shared" si="11"/>
        <v>0</v>
      </c>
      <c r="Y14" s="22">
        <f>$G14*W14</f>
        <v>0</v>
      </c>
      <c r="Z14" s="22">
        <v>1</v>
      </c>
      <c r="AA14" s="22">
        <f t="shared" si="13"/>
        <v>0</v>
      </c>
      <c r="AB14" s="22">
        <f>$G14*Z14</f>
        <v>0</v>
      </c>
      <c r="AC14" s="22"/>
      <c r="AD14" s="22">
        <f t="shared" si="15"/>
        <v>0</v>
      </c>
      <c r="AE14" s="22">
        <f>$G14*AC14</f>
        <v>0</v>
      </c>
      <c r="AF14" s="22"/>
      <c r="AG14" s="22">
        <f t="shared" si="17"/>
        <v>0</v>
      </c>
      <c r="AH14" s="22">
        <f>$G14*AF14</f>
        <v>0</v>
      </c>
      <c r="AI14" s="22"/>
      <c r="AJ14" s="22">
        <f t="shared" si="19"/>
        <v>0</v>
      </c>
      <c r="AK14" s="22">
        <f>$G14*AI14</f>
        <v>0</v>
      </c>
      <c r="AL14" s="22"/>
      <c r="AM14" s="22">
        <f t="shared" si="21"/>
        <v>0</v>
      </c>
      <c r="AN14" s="22">
        <f>$G14*AL14</f>
        <v>0</v>
      </c>
      <c r="AO14" s="22">
        <v>1</v>
      </c>
      <c r="AP14" s="22">
        <f t="shared" si="23"/>
        <v>2</v>
      </c>
      <c r="AQ14" s="22">
        <f>$G14*AO14</f>
        <v>0</v>
      </c>
      <c r="AR14" s="22">
        <v>1</v>
      </c>
      <c r="AS14" s="22">
        <f t="shared" si="25"/>
        <v>7</v>
      </c>
      <c r="AT14" s="22">
        <f>$G14*AR14</f>
        <v>0</v>
      </c>
      <c r="AU14" s="22"/>
      <c r="AV14" s="22">
        <f t="shared" si="27"/>
        <v>0</v>
      </c>
      <c r="AW14" s="22">
        <f>$G14*AU14</f>
        <v>0</v>
      </c>
      <c r="AX14" s="22"/>
      <c r="AY14" s="22">
        <f t="shared" si="29"/>
        <v>0</v>
      </c>
      <c r="AZ14" s="22">
        <f>$G14*AX14</f>
        <v>0</v>
      </c>
      <c r="BA14" s="22"/>
      <c r="BB14" s="22">
        <f t="shared" si="31"/>
        <v>0</v>
      </c>
      <c r="BC14" s="22">
        <f>$G14*BA14</f>
        <v>0</v>
      </c>
      <c r="BD14" s="22"/>
      <c r="BE14" s="22">
        <f t="shared" si="33"/>
        <v>0</v>
      </c>
      <c r="BF14" s="22">
        <f>$G14*BD14</f>
        <v>0</v>
      </c>
      <c r="BG14" s="22"/>
      <c r="BH14" s="22">
        <f t="shared" si="35"/>
        <v>0</v>
      </c>
      <c r="BI14" s="22">
        <f>$G14*BG14</f>
        <v>0</v>
      </c>
      <c r="BJ14" s="22"/>
      <c r="BK14" s="22">
        <f t="shared" si="37"/>
        <v>0</v>
      </c>
      <c r="BL14" s="22">
        <f>$G14*BJ14</f>
        <v>0</v>
      </c>
      <c r="BM14" s="22"/>
      <c r="BN14" s="22">
        <f t="shared" si="39"/>
        <v>0</v>
      </c>
      <c r="BO14" s="22">
        <f>$G14*BM14</f>
        <v>0</v>
      </c>
      <c r="BP14" s="22"/>
      <c r="BQ14" s="22">
        <f t="shared" si="41"/>
        <v>0</v>
      </c>
      <c r="BR14" s="22">
        <f>$G14*BP14</f>
        <v>0</v>
      </c>
      <c r="BS14" s="22"/>
      <c r="BT14" s="22">
        <f t="shared" si="43"/>
        <v>0</v>
      </c>
      <c r="BU14" s="22">
        <f>$G14*BS14</f>
        <v>0</v>
      </c>
      <c r="BV14" s="22"/>
      <c r="BW14" s="22">
        <f t="shared" si="45"/>
        <v>0</v>
      </c>
      <c r="BX14" s="22">
        <f>$G14*BV14</f>
        <v>0</v>
      </c>
      <c r="BY14" s="22"/>
      <c r="BZ14" s="22">
        <f t="shared" si="47"/>
        <v>0</v>
      </c>
      <c r="CA14" s="22">
        <f>$G14*BY14</f>
        <v>0</v>
      </c>
      <c r="CB14" s="22"/>
      <c r="CC14" s="22">
        <f t="shared" si="49"/>
        <v>0</v>
      </c>
      <c r="CD14" s="22">
        <f>$G14*CB14</f>
        <v>0</v>
      </c>
      <c r="CE14" s="22"/>
      <c r="CF14" s="22">
        <f t="shared" si="51"/>
        <v>0</v>
      </c>
      <c r="CG14" s="22">
        <f>$G14*CE14</f>
        <v>0</v>
      </c>
      <c r="CH14" s="22"/>
      <c r="CI14" s="22">
        <f t="shared" si="53"/>
        <v>0</v>
      </c>
      <c r="CJ14" s="22">
        <f>$G14*CH14</f>
        <v>0</v>
      </c>
      <c r="CK14" s="22"/>
      <c r="CL14" s="22">
        <f t="shared" si="55"/>
        <v>0</v>
      </c>
      <c r="CM14" s="22">
        <f>$G14*CK14</f>
        <v>0</v>
      </c>
      <c r="CN14" s="22"/>
      <c r="CO14" s="22">
        <f t="shared" si="57"/>
        <v>0</v>
      </c>
      <c r="CP14" s="22">
        <f>$G14*CN14</f>
        <v>0</v>
      </c>
      <c r="CQ14" s="22"/>
      <c r="CR14" s="22">
        <f t="shared" si="59"/>
        <v>0</v>
      </c>
      <c r="CS14" s="22">
        <f>$G14*CQ14</f>
        <v>0</v>
      </c>
      <c r="CT14" s="22"/>
      <c r="CU14" s="22">
        <f t="shared" si="61"/>
        <v>0</v>
      </c>
      <c r="CV14" s="22">
        <f>$G14*CT14</f>
        <v>0</v>
      </c>
      <c r="CW14" s="22"/>
      <c r="CX14" s="22">
        <f t="shared" si="63"/>
        <v>0</v>
      </c>
      <c r="CY14" s="22">
        <f>$G14*CW14</f>
        <v>0</v>
      </c>
      <c r="CZ14" s="22"/>
      <c r="DA14" s="22">
        <f t="shared" si="65"/>
        <v>0</v>
      </c>
      <c r="DB14" s="22">
        <f>$G14*CZ14</f>
        <v>0</v>
      </c>
      <c r="DC14" s="22"/>
      <c r="DD14" s="22">
        <f t="shared" si="67"/>
        <v>0</v>
      </c>
      <c r="DE14" s="22">
        <f>$G14*DC14</f>
        <v>0</v>
      </c>
      <c r="DF14" s="22">
        <v>1</v>
      </c>
      <c r="DG14" s="22">
        <f t="shared" si="69"/>
        <v>0</v>
      </c>
      <c r="DH14" s="22">
        <f>$G14*DF14</f>
        <v>0</v>
      </c>
      <c r="DI14" s="22">
        <v>1</v>
      </c>
      <c r="DJ14" s="22">
        <f t="shared" si="71"/>
        <v>1</v>
      </c>
      <c r="DK14" s="22">
        <f>$G14*DI14</f>
        <v>0</v>
      </c>
      <c r="DL14" s="22">
        <v>1</v>
      </c>
      <c r="DM14" s="22">
        <f t="shared" si="73"/>
        <v>2</v>
      </c>
      <c r="DN14" s="22">
        <f>$G14*DL14</f>
        <v>0</v>
      </c>
      <c r="DO14" s="22">
        <v>1</v>
      </c>
      <c r="DP14" s="22">
        <f t="shared" si="75"/>
        <v>3</v>
      </c>
      <c r="DQ14" s="22">
        <f>$G14*DO14</f>
        <v>0</v>
      </c>
      <c r="DR14" s="22">
        <v>1</v>
      </c>
      <c r="DS14" s="22">
        <f t="shared" si="77"/>
        <v>1</v>
      </c>
      <c r="DT14" s="22">
        <f>$G14*DR14</f>
        <v>0</v>
      </c>
      <c r="DU14" s="22"/>
      <c r="DV14" s="22">
        <f t="shared" si="79"/>
        <v>0</v>
      </c>
      <c r="DW14" s="22">
        <f>$G14*DU14</f>
        <v>0</v>
      </c>
      <c r="DX14" s="22"/>
      <c r="DY14" s="22">
        <f t="shared" si="81"/>
        <v>0</v>
      </c>
      <c r="DZ14" s="22">
        <f>$G14*DX14</f>
        <v>0</v>
      </c>
      <c r="EA14" s="22"/>
      <c r="EB14" s="22">
        <f t="shared" si="83"/>
        <v>0</v>
      </c>
      <c r="EC14" s="22">
        <f>$G14*EA14</f>
        <v>0</v>
      </c>
      <c r="ED14" s="22">
        <v>1</v>
      </c>
      <c r="EE14" s="22">
        <f t="shared" si="85"/>
        <v>0</v>
      </c>
      <c r="EF14" s="22">
        <f>$G14*ED14</f>
        <v>0</v>
      </c>
      <c r="EG14" s="22">
        <v>1</v>
      </c>
      <c r="EH14" s="22">
        <f t="shared" si="87"/>
        <v>1</v>
      </c>
      <c r="EI14" s="22">
        <f>$G14*EG14</f>
        <v>0</v>
      </c>
      <c r="EJ14" s="22"/>
      <c r="EK14" s="22">
        <f t="shared" si="89"/>
        <v>0</v>
      </c>
      <c r="EL14" s="22">
        <f>$G14*EJ14</f>
        <v>0</v>
      </c>
      <c r="EM14" s="22"/>
      <c r="EN14" s="22">
        <f t="shared" si="91"/>
        <v>0</v>
      </c>
      <c r="EO14" s="22">
        <f>$G14*EM14</f>
        <v>0</v>
      </c>
    </row>
    <row r="15" spans="1:145">
      <c r="A15" s="15">
        <v>26</v>
      </c>
      <c r="B15" s="15" t="s">
        <v>400</v>
      </c>
      <c r="C15" s="16" t="s">
        <v>401</v>
      </c>
      <c r="D15" s="15" t="s">
        <v>402</v>
      </c>
      <c r="E15" s="18" t="s">
        <v>399</v>
      </c>
      <c r="F15" s="19">
        <f t="shared" si="0"/>
        <v>222</v>
      </c>
      <c r="G15" s="20"/>
      <c r="H15" s="21"/>
      <c r="I15" s="22">
        <f t="shared" si="1"/>
        <v>0</v>
      </c>
      <c r="J15" s="22">
        <f t="shared" ref="J15:J17" si="185">$G15*H15</f>
        <v>0</v>
      </c>
      <c r="K15" s="22"/>
      <c r="L15" s="22">
        <f t="shared" si="3"/>
        <v>0</v>
      </c>
      <c r="M15" s="22">
        <f t="shared" ref="M15:M17" si="186">$G15*K15</f>
        <v>0</v>
      </c>
      <c r="N15" s="22"/>
      <c r="O15" s="22">
        <f t="shared" si="5"/>
        <v>0</v>
      </c>
      <c r="P15" s="22">
        <f t="shared" ref="P15:P17" si="187">$G15*N15</f>
        <v>0</v>
      </c>
      <c r="Q15" s="22"/>
      <c r="R15" s="22">
        <f t="shared" si="7"/>
        <v>0</v>
      </c>
      <c r="S15" s="22">
        <f t="shared" ref="S15:S17" si="188">$G15*Q15</f>
        <v>0</v>
      </c>
      <c r="T15" s="22"/>
      <c r="U15" s="22">
        <f t="shared" si="9"/>
        <v>0</v>
      </c>
      <c r="V15" s="22">
        <f t="shared" ref="V15:V17" si="189">$G15*T15</f>
        <v>0</v>
      </c>
      <c r="W15" s="22"/>
      <c r="X15" s="22">
        <f t="shared" si="11"/>
        <v>0</v>
      </c>
      <c r="Y15" s="22">
        <f t="shared" ref="Y15:Y17" si="190">$G15*W15</f>
        <v>0</v>
      </c>
      <c r="Z15" s="22">
        <v>3</v>
      </c>
      <c r="AA15" s="22">
        <f t="shared" si="13"/>
        <v>0</v>
      </c>
      <c r="AB15" s="22">
        <f t="shared" ref="AB15:AB17" si="191">$G15*Z15</f>
        <v>0</v>
      </c>
      <c r="AC15" s="22"/>
      <c r="AD15" s="22">
        <f t="shared" si="15"/>
        <v>0</v>
      </c>
      <c r="AE15" s="22">
        <f t="shared" ref="AE15:AE17" si="192">$G15*AC15</f>
        <v>0</v>
      </c>
      <c r="AF15" s="22"/>
      <c r="AG15" s="22">
        <f t="shared" si="17"/>
        <v>0</v>
      </c>
      <c r="AH15" s="22">
        <f t="shared" ref="AH15:AH17" si="193">$G15*AF15</f>
        <v>0</v>
      </c>
      <c r="AI15" s="22"/>
      <c r="AJ15" s="22">
        <f t="shared" si="19"/>
        <v>0</v>
      </c>
      <c r="AK15" s="22">
        <f t="shared" ref="AK15:AK17" si="194">$G15*AI15</f>
        <v>0</v>
      </c>
      <c r="AL15" s="22"/>
      <c r="AM15" s="22">
        <f t="shared" si="21"/>
        <v>0</v>
      </c>
      <c r="AN15" s="22">
        <f t="shared" ref="AN15:AN17" si="195">$G15*AL15</f>
        <v>0</v>
      </c>
      <c r="AO15" s="22">
        <v>3</v>
      </c>
      <c r="AP15" s="22">
        <f t="shared" si="23"/>
        <v>6</v>
      </c>
      <c r="AQ15" s="22">
        <f t="shared" ref="AQ15:AQ17" si="196">$G15*AO15</f>
        <v>0</v>
      </c>
      <c r="AR15" s="22"/>
      <c r="AS15" s="22">
        <f t="shared" si="25"/>
        <v>0</v>
      </c>
      <c r="AT15" s="22">
        <f t="shared" ref="AT15:AT17" si="197">$G15*AR15</f>
        <v>0</v>
      </c>
      <c r="AU15" s="22"/>
      <c r="AV15" s="22">
        <f t="shared" si="27"/>
        <v>0</v>
      </c>
      <c r="AW15" s="22">
        <f t="shared" ref="AW15:AW17" si="198">$G15*AU15</f>
        <v>0</v>
      </c>
      <c r="AX15" s="22"/>
      <c r="AY15" s="22">
        <f t="shared" si="29"/>
        <v>0</v>
      </c>
      <c r="AZ15" s="22">
        <f t="shared" ref="AZ15:AZ17" si="199">$G15*AX15</f>
        <v>0</v>
      </c>
      <c r="BA15" s="22"/>
      <c r="BB15" s="22">
        <f t="shared" si="31"/>
        <v>0</v>
      </c>
      <c r="BC15" s="22">
        <f t="shared" ref="BC15:BC17" si="200">$G15*BA15</f>
        <v>0</v>
      </c>
      <c r="BD15" s="22"/>
      <c r="BE15" s="22">
        <f t="shared" si="33"/>
        <v>0</v>
      </c>
      <c r="BF15" s="22">
        <f t="shared" ref="BF15:BF17" si="201">$G15*BD15</f>
        <v>0</v>
      </c>
      <c r="BG15" s="22"/>
      <c r="BH15" s="22">
        <f t="shared" si="35"/>
        <v>0</v>
      </c>
      <c r="BI15" s="22">
        <f t="shared" ref="BI15:BI17" si="202">$G15*BG15</f>
        <v>0</v>
      </c>
      <c r="BJ15" s="22"/>
      <c r="BK15" s="22">
        <f t="shared" si="37"/>
        <v>0</v>
      </c>
      <c r="BL15" s="22">
        <f t="shared" ref="BL15:BL17" si="203">$G15*BJ15</f>
        <v>0</v>
      </c>
      <c r="BM15" s="22"/>
      <c r="BN15" s="22">
        <f t="shared" si="39"/>
        <v>0</v>
      </c>
      <c r="BO15" s="22">
        <f t="shared" ref="BO15:BO17" si="204">$G15*BM15</f>
        <v>0</v>
      </c>
      <c r="BP15" s="22">
        <v>3</v>
      </c>
      <c r="BQ15" s="22">
        <f t="shared" si="41"/>
        <v>3</v>
      </c>
      <c r="BR15" s="22">
        <f t="shared" ref="BR15:BR17" si="205">$G15*BP15</f>
        <v>0</v>
      </c>
      <c r="BS15" s="22"/>
      <c r="BT15" s="22">
        <f t="shared" si="43"/>
        <v>0</v>
      </c>
      <c r="BU15" s="22">
        <f t="shared" ref="BU15:BU17" si="206">$G15*BS15</f>
        <v>0</v>
      </c>
      <c r="BV15" s="22">
        <v>3</v>
      </c>
      <c r="BW15" s="22">
        <f t="shared" si="45"/>
        <v>0</v>
      </c>
      <c r="BX15" s="22">
        <f t="shared" ref="BX15:BX17" si="207">$G15*BV15</f>
        <v>0</v>
      </c>
      <c r="BY15" s="22">
        <v>3</v>
      </c>
      <c r="BZ15" s="22">
        <f t="shared" si="47"/>
        <v>36</v>
      </c>
      <c r="CA15" s="22">
        <f t="shared" ref="CA15:CA17" si="208">$G15*BY15</f>
        <v>0</v>
      </c>
      <c r="CB15" s="22">
        <v>3</v>
      </c>
      <c r="CC15" s="22">
        <f t="shared" si="49"/>
        <v>93</v>
      </c>
      <c r="CD15" s="22">
        <f t="shared" ref="CD15:CD17" si="209">$G15*CB15</f>
        <v>0</v>
      </c>
      <c r="CE15" s="22">
        <v>3</v>
      </c>
      <c r="CF15" s="22">
        <f t="shared" si="51"/>
        <v>3</v>
      </c>
      <c r="CG15" s="22">
        <f t="shared" ref="CG15:CG17" si="210">$G15*CE15</f>
        <v>0</v>
      </c>
      <c r="CH15" s="22">
        <v>3</v>
      </c>
      <c r="CI15" s="22">
        <f t="shared" si="53"/>
        <v>3</v>
      </c>
      <c r="CJ15" s="22">
        <f t="shared" ref="CJ15:CJ17" si="211">$G15*CH15</f>
        <v>0</v>
      </c>
      <c r="CK15" s="22">
        <v>3</v>
      </c>
      <c r="CL15" s="22">
        <f t="shared" si="55"/>
        <v>6</v>
      </c>
      <c r="CM15" s="22">
        <f t="shared" ref="CM15:CM17" si="212">$G15*CK15</f>
        <v>0</v>
      </c>
      <c r="CN15" s="22">
        <v>3</v>
      </c>
      <c r="CO15" s="22">
        <f t="shared" si="57"/>
        <v>6</v>
      </c>
      <c r="CP15" s="22">
        <f t="shared" ref="CP15:CP17" si="213">$G15*CN15</f>
        <v>0</v>
      </c>
      <c r="CQ15" s="22">
        <v>3</v>
      </c>
      <c r="CR15" s="22">
        <f t="shared" si="59"/>
        <v>9</v>
      </c>
      <c r="CS15" s="22">
        <f t="shared" ref="CS15:CS17" si="214">$G15*CQ15</f>
        <v>0</v>
      </c>
      <c r="CT15" s="22"/>
      <c r="CU15" s="22">
        <f t="shared" si="61"/>
        <v>0</v>
      </c>
      <c r="CV15" s="22">
        <f t="shared" ref="CV15:CV17" si="215">$G15*CT15</f>
        <v>0</v>
      </c>
      <c r="CW15" s="22"/>
      <c r="CX15" s="22">
        <f t="shared" si="63"/>
        <v>0</v>
      </c>
      <c r="CY15" s="22">
        <f t="shared" ref="CY15:CY17" si="216">$G15*CW15</f>
        <v>0</v>
      </c>
      <c r="CZ15" s="22">
        <v>3</v>
      </c>
      <c r="DA15" s="22">
        <f t="shared" si="65"/>
        <v>18</v>
      </c>
      <c r="DB15" s="22">
        <f t="shared" ref="DB15:DB17" si="217">$G15*CZ15</f>
        <v>0</v>
      </c>
      <c r="DC15" s="22">
        <v>3</v>
      </c>
      <c r="DD15" s="22">
        <f t="shared" si="67"/>
        <v>18</v>
      </c>
      <c r="DE15" s="22">
        <f t="shared" ref="DE15:DE17" si="218">$G15*DC15</f>
        <v>0</v>
      </c>
      <c r="DF15" s="22">
        <v>6</v>
      </c>
      <c r="DG15" s="22">
        <f t="shared" si="69"/>
        <v>0</v>
      </c>
      <c r="DH15" s="22">
        <f t="shared" ref="DH15:DH17" si="219">$G15*DF15</f>
        <v>0</v>
      </c>
      <c r="DI15" s="22"/>
      <c r="DJ15" s="22">
        <f t="shared" si="71"/>
        <v>0</v>
      </c>
      <c r="DK15" s="22">
        <f t="shared" ref="DK15:DK17" si="220">$G15*DI15</f>
        <v>0</v>
      </c>
      <c r="DL15" s="22">
        <v>3</v>
      </c>
      <c r="DM15" s="22">
        <f t="shared" si="73"/>
        <v>6</v>
      </c>
      <c r="DN15" s="22">
        <f t="shared" ref="DN15:DN17" si="221">$G15*DL15</f>
        <v>0</v>
      </c>
      <c r="DO15" s="22">
        <v>3</v>
      </c>
      <c r="DP15" s="22">
        <f t="shared" si="75"/>
        <v>9</v>
      </c>
      <c r="DQ15" s="22">
        <f t="shared" ref="DQ15:DQ17" si="222">$G15*DO15</f>
        <v>0</v>
      </c>
      <c r="DR15" s="22">
        <v>3</v>
      </c>
      <c r="DS15" s="22">
        <f t="shared" si="77"/>
        <v>3</v>
      </c>
      <c r="DT15" s="22">
        <f t="shared" ref="DT15:DT17" si="223">$G15*DR15</f>
        <v>0</v>
      </c>
      <c r="DU15" s="22"/>
      <c r="DV15" s="22">
        <f t="shared" si="79"/>
        <v>0</v>
      </c>
      <c r="DW15" s="22">
        <f t="shared" ref="DW15:DW17" si="224">$G15*DU15</f>
        <v>0</v>
      </c>
      <c r="DX15" s="22">
        <v>6</v>
      </c>
      <c r="DY15" s="22">
        <f t="shared" si="81"/>
        <v>0</v>
      </c>
      <c r="DZ15" s="22">
        <f t="shared" ref="DZ15:DZ17" si="225">$G15*DX15</f>
        <v>0</v>
      </c>
      <c r="EA15" s="22"/>
      <c r="EB15" s="22">
        <f t="shared" si="83"/>
        <v>0</v>
      </c>
      <c r="EC15" s="22">
        <f t="shared" ref="EC15:EC17" si="226">$G15*EA15</f>
        <v>0</v>
      </c>
      <c r="ED15" s="22">
        <v>3</v>
      </c>
      <c r="EE15" s="22">
        <f t="shared" si="85"/>
        <v>0</v>
      </c>
      <c r="EF15" s="22">
        <f t="shared" ref="EF15:EF17" si="227">$G15*ED15</f>
        <v>0</v>
      </c>
      <c r="EG15" s="22">
        <v>3</v>
      </c>
      <c r="EH15" s="22">
        <f t="shared" si="87"/>
        <v>3</v>
      </c>
      <c r="EI15" s="22">
        <f t="shared" ref="EI15:EI17" si="228">$G15*EG15</f>
        <v>0</v>
      </c>
      <c r="EJ15" s="22"/>
      <c r="EK15" s="22">
        <f t="shared" si="89"/>
        <v>0</v>
      </c>
      <c r="EL15" s="22">
        <f t="shared" ref="EL15:EL17" si="229">$G15*EJ15</f>
        <v>0</v>
      </c>
      <c r="EM15" s="22"/>
      <c r="EN15" s="22">
        <f t="shared" si="91"/>
        <v>0</v>
      </c>
      <c r="EO15" s="22">
        <f t="shared" ref="EO15:EO17" si="230">$G15*EM15</f>
        <v>0</v>
      </c>
    </row>
    <row r="16" spans="1:145">
      <c r="A16" s="15">
        <v>27</v>
      </c>
      <c r="B16" s="15" t="s">
        <v>403</v>
      </c>
      <c r="C16" s="16" t="s">
        <v>374</v>
      </c>
      <c r="D16" s="15" t="s">
        <v>404</v>
      </c>
      <c r="E16" s="15" t="s">
        <v>376</v>
      </c>
      <c r="F16" s="19">
        <f t="shared" si="0"/>
        <v>2</v>
      </c>
      <c r="G16" s="20"/>
      <c r="H16" s="21"/>
      <c r="I16" s="22">
        <f t="shared" si="1"/>
        <v>0</v>
      </c>
      <c r="J16" s="22">
        <f t="shared" si="185"/>
        <v>0</v>
      </c>
      <c r="K16" s="22"/>
      <c r="L16" s="22">
        <f t="shared" si="3"/>
        <v>0</v>
      </c>
      <c r="M16" s="22">
        <f t="shared" si="186"/>
        <v>0</v>
      </c>
      <c r="N16" s="22"/>
      <c r="O16" s="22">
        <f t="shared" si="5"/>
        <v>0</v>
      </c>
      <c r="P16" s="22">
        <f t="shared" si="187"/>
        <v>0</v>
      </c>
      <c r="Q16" s="22"/>
      <c r="R16" s="22">
        <f t="shared" si="7"/>
        <v>0</v>
      </c>
      <c r="S16" s="22">
        <f t="shared" si="188"/>
        <v>0</v>
      </c>
      <c r="T16" s="22"/>
      <c r="U16" s="22">
        <f t="shared" si="9"/>
        <v>0</v>
      </c>
      <c r="V16" s="22">
        <f t="shared" si="189"/>
        <v>0</v>
      </c>
      <c r="W16" s="22"/>
      <c r="X16" s="22">
        <f t="shared" si="11"/>
        <v>0</v>
      </c>
      <c r="Y16" s="22">
        <f t="shared" si="190"/>
        <v>0</v>
      </c>
      <c r="Z16" s="22">
        <v>1</v>
      </c>
      <c r="AA16" s="22">
        <f t="shared" si="13"/>
        <v>0</v>
      </c>
      <c r="AB16" s="22">
        <f t="shared" si="191"/>
        <v>0</v>
      </c>
      <c r="AC16" s="22"/>
      <c r="AD16" s="22">
        <f t="shared" si="15"/>
        <v>0</v>
      </c>
      <c r="AE16" s="22">
        <f t="shared" si="192"/>
        <v>0</v>
      </c>
      <c r="AF16" s="22"/>
      <c r="AG16" s="22">
        <f t="shared" si="17"/>
        <v>0</v>
      </c>
      <c r="AH16" s="22">
        <f t="shared" si="193"/>
        <v>0</v>
      </c>
      <c r="AI16" s="22"/>
      <c r="AJ16" s="22">
        <f t="shared" si="19"/>
        <v>0</v>
      </c>
      <c r="AK16" s="22">
        <f t="shared" si="194"/>
        <v>0</v>
      </c>
      <c r="AL16" s="22"/>
      <c r="AM16" s="22">
        <f t="shared" si="21"/>
        <v>0</v>
      </c>
      <c r="AN16" s="22">
        <f t="shared" si="195"/>
        <v>0</v>
      </c>
      <c r="AO16" s="22"/>
      <c r="AP16" s="22">
        <f t="shared" si="23"/>
        <v>0</v>
      </c>
      <c r="AQ16" s="22">
        <f t="shared" si="196"/>
        <v>0</v>
      </c>
      <c r="AR16" s="22"/>
      <c r="AS16" s="22">
        <f t="shared" si="25"/>
        <v>0</v>
      </c>
      <c r="AT16" s="22">
        <f t="shared" si="197"/>
        <v>0</v>
      </c>
      <c r="AU16" s="22"/>
      <c r="AV16" s="22">
        <f t="shared" si="27"/>
        <v>0</v>
      </c>
      <c r="AW16" s="22">
        <f t="shared" si="198"/>
        <v>0</v>
      </c>
      <c r="AX16" s="22">
        <v>2</v>
      </c>
      <c r="AY16" s="22">
        <f t="shared" si="29"/>
        <v>0</v>
      </c>
      <c r="AZ16" s="22">
        <f t="shared" si="199"/>
        <v>0</v>
      </c>
      <c r="BA16" s="22"/>
      <c r="BB16" s="22">
        <f t="shared" si="31"/>
        <v>0</v>
      </c>
      <c r="BC16" s="22">
        <f t="shared" si="200"/>
        <v>0</v>
      </c>
      <c r="BD16" s="22"/>
      <c r="BE16" s="22">
        <f t="shared" si="33"/>
        <v>0</v>
      </c>
      <c r="BF16" s="22">
        <f t="shared" si="201"/>
        <v>0</v>
      </c>
      <c r="BG16" s="22"/>
      <c r="BH16" s="22">
        <f t="shared" si="35"/>
        <v>0</v>
      </c>
      <c r="BI16" s="22">
        <f t="shared" si="202"/>
        <v>0</v>
      </c>
      <c r="BJ16" s="22"/>
      <c r="BK16" s="22">
        <f t="shared" si="37"/>
        <v>0</v>
      </c>
      <c r="BL16" s="22">
        <f t="shared" si="203"/>
        <v>0</v>
      </c>
      <c r="BM16" s="22"/>
      <c r="BN16" s="22">
        <f t="shared" si="39"/>
        <v>0</v>
      </c>
      <c r="BO16" s="22">
        <f t="shared" si="204"/>
        <v>0</v>
      </c>
      <c r="BP16" s="22"/>
      <c r="BQ16" s="22">
        <f t="shared" si="41"/>
        <v>0</v>
      </c>
      <c r="BR16" s="22">
        <f t="shared" si="205"/>
        <v>0</v>
      </c>
      <c r="BS16" s="22">
        <v>1</v>
      </c>
      <c r="BT16" s="22">
        <f t="shared" si="43"/>
        <v>1</v>
      </c>
      <c r="BU16" s="22">
        <f t="shared" si="206"/>
        <v>0</v>
      </c>
      <c r="BV16" s="22"/>
      <c r="BW16" s="22">
        <f t="shared" si="45"/>
        <v>0</v>
      </c>
      <c r="BX16" s="22">
        <f t="shared" si="207"/>
        <v>0</v>
      </c>
      <c r="BY16" s="22"/>
      <c r="BZ16" s="22">
        <f t="shared" si="47"/>
        <v>0</v>
      </c>
      <c r="CA16" s="22">
        <f t="shared" si="208"/>
        <v>0</v>
      </c>
      <c r="CB16" s="22"/>
      <c r="CC16" s="22">
        <f t="shared" si="49"/>
        <v>0</v>
      </c>
      <c r="CD16" s="22">
        <f t="shared" si="209"/>
        <v>0</v>
      </c>
      <c r="CE16" s="22"/>
      <c r="CF16" s="22">
        <f t="shared" si="51"/>
        <v>0</v>
      </c>
      <c r="CG16" s="22">
        <f t="shared" si="210"/>
        <v>0</v>
      </c>
      <c r="CH16" s="22"/>
      <c r="CI16" s="22">
        <f t="shared" si="53"/>
        <v>0</v>
      </c>
      <c r="CJ16" s="22">
        <f t="shared" si="211"/>
        <v>0</v>
      </c>
      <c r="CK16" s="22"/>
      <c r="CL16" s="22">
        <f t="shared" si="55"/>
        <v>0</v>
      </c>
      <c r="CM16" s="22">
        <f t="shared" si="212"/>
        <v>0</v>
      </c>
      <c r="CN16" s="22"/>
      <c r="CO16" s="22">
        <f t="shared" si="57"/>
        <v>0</v>
      </c>
      <c r="CP16" s="22">
        <f t="shared" si="213"/>
        <v>0</v>
      </c>
      <c r="CQ16" s="22"/>
      <c r="CR16" s="22">
        <f t="shared" si="59"/>
        <v>0</v>
      </c>
      <c r="CS16" s="22">
        <f t="shared" si="214"/>
        <v>0</v>
      </c>
      <c r="CT16" s="22"/>
      <c r="CU16" s="22">
        <f t="shared" si="61"/>
        <v>0</v>
      </c>
      <c r="CV16" s="22">
        <f t="shared" si="215"/>
        <v>0</v>
      </c>
      <c r="CW16" s="22"/>
      <c r="CX16" s="22">
        <f t="shared" si="63"/>
        <v>0</v>
      </c>
      <c r="CY16" s="22">
        <f t="shared" si="216"/>
        <v>0</v>
      </c>
      <c r="CZ16" s="22"/>
      <c r="DA16" s="22">
        <f t="shared" si="65"/>
        <v>0</v>
      </c>
      <c r="DB16" s="22">
        <f t="shared" si="217"/>
        <v>0</v>
      </c>
      <c r="DC16" s="22"/>
      <c r="DD16" s="22">
        <f t="shared" si="67"/>
        <v>0</v>
      </c>
      <c r="DE16" s="22">
        <f t="shared" si="218"/>
        <v>0</v>
      </c>
      <c r="DF16" s="22"/>
      <c r="DG16" s="22">
        <f t="shared" si="69"/>
        <v>0</v>
      </c>
      <c r="DH16" s="22">
        <f t="shared" si="219"/>
        <v>0</v>
      </c>
      <c r="DI16" s="22"/>
      <c r="DJ16" s="22">
        <f t="shared" si="71"/>
        <v>0</v>
      </c>
      <c r="DK16" s="22">
        <f t="shared" si="220"/>
        <v>0</v>
      </c>
      <c r="DL16" s="22"/>
      <c r="DM16" s="22">
        <f t="shared" si="73"/>
        <v>0</v>
      </c>
      <c r="DN16" s="22">
        <f t="shared" si="221"/>
        <v>0</v>
      </c>
      <c r="DO16" s="22"/>
      <c r="DP16" s="22">
        <f t="shared" si="75"/>
        <v>0</v>
      </c>
      <c r="DQ16" s="22">
        <f t="shared" si="222"/>
        <v>0</v>
      </c>
      <c r="DR16" s="22">
        <v>1</v>
      </c>
      <c r="DS16" s="22">
        <f t="shared" si="77"/>
        <v>1</v>
      </c>
      <c r="DT16" s="22">
        <f t="shared" si="223"/>
        <v>0</v>
      </c>
      <c r="DU16" s="22"/>
      <c r="DV16" s="22">
        <f t="shared" si="79"/>
        <v>0</v>
      </c>
      <c r="DW16" s="22">
        <f t="shared" si="224"/>
        <v>0</v>
      </c>
      <c r="DX16" s="22"/>
      <c r="DY16" s="22">
        <f t="shared" si="81"/>
        <v>0</v>
      </c>
      <c r="DZ16" s="22">
        <f t="shared" si="225"/>
        <v>0</v>
      </c>
      <c r="EA16" s="22">
        <v>2</v>
      </c>
      <c r="EB16" s="22">
        <f t="shared" si="83"/>
        <v>0</v>
      </c>
      <c r="EC16" s="22">
        <f t="shared" si="226"/>
        <v>0</v>
      </c>
      <c r="ED16" s="22">
        <v>1</v>
      </c>
      <c r="EE16" s="22">
        <f t="shared" si="85"/>
        <v>0</v>
      </c>
      <c r="EF16" s="22">
        <f t="shared" si="227"/>
        <v>0</v>
      </c>
      <c r="EG16" s="22"/>
      <c r="EH16" s="22">
        <f t="shared" si="87"/>
        <v>0</v>
      </c>
      <c r="EI16" s="22">
        <f t="shared" si="228"/>
        <v>0</v>
      </c>
      <c r="EJ16" s="22"/>
      <c r="EK16" s="22">
        <f t="shared" si="89"/>
        <v>0</v>
      </c>
      <c r="EL16" s="22">
        <f t="shared" si="229"/>
        <v>0</v>
      </c>
      <c r="EM16" s="22"/>
      <c r="EN16" s="22">
        <f t="shared" si="91"/>
        <v>0</v>
      </c>
      <c r="EO16" s="22">
        <f t="shared" si="230"/>
        <v>0</v>
      </c>
    </row>
    <row r="17" spans="1:145">
      <c r="A17" s="15">
        <v>28</v>
      </c>
      <c r="B17" s="15" t="s">
        <v>405</v>
      </c>
      <c r="C17" s="16" t="s">
        <v>378</v>
      </c>
      <c r="D17" s="16" t="s">
        <v>406</v>
      </c>
      <c r="E17" s="18" t="s">
        <v>399</v>
      </c>
      <c r="F17" s="19">
        <f t="shared" si="0"/>
        <v>63</v>
      </c>
      <c r="G17" s="20"/>
      <c r="H17" s="21"/>
      <c r="I17" s="22">
        <f t="shared" si="1"/>
        <v>0</v>
      </c>
      <c r="J17" s="22">
        <f t="shared" si="185"/>
        <v>0</v>
      </c>
      <c r="K17" s="22"/>
      <c r="L17" s="22">
        <f t="shared" si="3"/>
        <v>0</v>
      </c>
      <c r="M17" s="22">
        <f t="shared" si="186"/>
        <v>0</v>
      </c>
      <c r="N17" s="22"/>
      <c r="O17" s="22">
        <f t="shared" si="5"/>
        <v>0</v>
      </c>
      <c r="P17" s="22">
        <f t="shared" si="187"/>
        <v>0</v>
      </c>
      <c r="Q17" s="22"/>
      <c r="R17" s="22">
        <f t="shared" si="7"/>
        <v>0</v>
      </c>
      <c r="S17" s="22">
        <f t="shared" si="188"/>
        <v>0</v>
      </c>
      <c r="T17" s="22"/>
      <c r="U17" s="22">
        <f t="shared" si="9"/>
        <v>0</v>
      </c>
      <c r="V17" s="22">
        <f t="shared" si="189"/>
        <v>0</v>
      </c>
      <c r="W17" s="22"/>
      <c r="X17" s="22">
        <f t="shared" si="11"/>
        <v>0</v>
      </c>
      <c r="Y17" s="22">
        <f t="shared" si="190"/>
        <v>0</v>
      </c>
      <c r="Z17" s="22">
        <v>1</v>
      </c>
      <c r="AA17" s="22">
        <f t="shared" si="13"/>
        <v>0</v>
      </c>
      <c r="AB17" s="22">
        <f t="shared" si="191"/>
        <v>0</v>
      </c>
      <c r="AC17" s="22"/>
      <c r="AD17" s="22">
        <f t="shared" si="15"/>
        <v>0</v>
      </c>
      <c r="AE17" s="22">
        <f t="shared" si="192"/>
        <v>0</v>
      </c>
      <c r="AF17" s="22"/>
      <c r="AG17" s="22">
        <f t="shared" si="17"/>
        <v>0</v>
      </c>
      <c r="AH17" s="22">
        <f t="shared" si="193"/>
        <v>0</v>
      </c>
      <c r="AI17" s="22"/>
      <c r="AJ17" s="22">
        <f t="shared" si="19"/>
        <v>0</v>
      </c>
      <c r="AK17" s="22">
        <f t="shared" si="194"/>
        <v>0</v>
      </c>
      <c r="AL17" s="22"/>
      <c r="AM17" s="22">
        <f t="shared" si="21"/>
        <v>0</v>
      </c>
      <c r="AN17" s="22">
        <f t="shared" si="195"/>
        <v>0</v>
      </c>
      <c r="AO17" s="22"/>
      <c r="AP17" s="22">
        <f t="shared" si="23"/>
        <v>0</v>
      </c>
      <c r="AQ17" s="22">
        <f t="shared" si="196"/>
        <v>0</v>
      </c>
      <c r="AR17" s="22">
        <v>1</v>
      </c>
      <c r="AS17" s="22">
        <f t="shared" si="25"/>
        <v>7</v>
      </c>
      <c r="AT17" s="22">
        <f t="shared" si="197"/>
        <v>0</v>
      </c>
      <c r="AU17" s="22">
        <v>1</v>
      </c>
      <c r="AV17" s="22">
        <f t="shared" si="27"/>
        <v>1</v>
      </c>
      <c r="AW17" s="22">
        <f t="shared" si="198"/>
        <v>0</v>
      </c>
      <c r="AX17" s="22"/>
      <c r="AY17" s="22">
        <f t="shared" si="29"/>
        <v>0</v>
      </c>
      <c r="AZ17" s="22">
        <f t="shared" si="199"/>
        <v>0</v>
      </c>
      <c r="BA17" s="22">
        <v>1</v>
      </c>
      <c r="BB17" s="22">
        <f t="shared" si="31"/>
        <v>0</v>
      </c>
      <c r="BC17" s="22">
        <f t="shared" si="200"/>
        <v>0</v>
      </c>
      <c r="BD17" s="22">
        <v>2</v>
      </c>
      <c r="BE17" s="22">
        <f t="shared" si="33"/>
        <v>2</v>
      </c>
      <c r="BF17" s="22">
        <f t="shared" si="201"/>
        <v>0</v>
      </c>
      <c r="BG17" s="22"/>
      <c r="BH17" s="22">
        <f t="shared" si="35"/>
        <v>0</v>
      </c>
      <c r="BI17" s="22">
        <f t="shared" si="202"/>
        <v>0</v>
      </c>
      <c r="BJ17" s="22"/>
      <c r="BK17" s="22">
        <f t="shared" si="37"/>
        <v>0</v>
      </c>
      <c r="BL17" s="22">
        <f t="shared" si="203"/>
        <v>0</v>
      </c>
      <c r="BM17" s="22"/>
      <c r="BN17" s="22">
        <f t="shared" si="39"/>
        <v>0</v>
      </c>
      <c r="BO17" s="22">
        <f t="shared" si="204"/>
        <v>0</v>
      </c>
      <c r="BP17" s="22">
        <v>1</v>
      </c>
      <c r="BQ17" s="22">
        <f t="shared" si="41"/>
        <v>1</v>
      </c>
      <c r="BR17" s="22">
        <f t="shared" si="205"/>
        <v>0</v>
      </c>
      <c r="BS17" s="22">
        <v>1</v>
      </c>
      <c r="BT17" s="22">
        <f t="shared" si="43"/>
        <v>1</v>
      </c>
      <c r="BU17" s="22">
        <f t="shared" si="206"/>
        <v>0</v>
      </c>
      <c r="BV17" s="22"/>
      <c r="BW17" s="22">
        <f t="shared" si="45"/>
        <v>0</v>
      </c>
      <c r="BX17" s="22">
        <f t="shared" si="207"/>
        <v>0</v>
      </c>
      <c r="BY17" s="22"/>
      <c r="BZ17" s="22">
        <f t="shared" si="47"/>
        <v>0</v>
      </c>
      <c r="CA17" s="22">
        <f t="shared" si="208"/>
        <v>0</v>
      </c>
      <c r="CB17" s="22">
        <v>1</v>
      </c>
      <c r="CC17" s="22">
        <f t="shared" si="49"/>
        <v>31</v>
      </c>
      <c r="CD17" s="22">
        <f t="shared" si="209"/>
        <v>0</v>
      </c>
      <c r="CE17" s="22"/>
      <c r="CF17" s="22">
        <f t="shared" si="51"/>
        <v>0</v>
      </c>
      <c r="CG17" s="22">
        <f t="shared" si="210"/>
        <v>0</v>
      </c>
      <c r="CH17" s="22">
        <v>1</v>
      </c>
      <c r="CI17" s="22">
        <f t="shared" si="53"/>
        <v>1</v>
      </c>
      <c r="CJ17" s="22">
        <f t="shared" si="211"/>
        <v>0</v>
      </c>
      <c r="CK17" s="22"/>
      <c r="CL17" s="22">
        <f t="shared" si="55"/>
        <v>0</v>
      </c>
      <c r="CM17" s="22">
        <f t="shared" si="212"/>
        <v>0</v>
      </c>
      <c r="CN17" s="22">
        <v>1</v>
      </c>
      <c r="CO17" s="22">
        <f t="shared" si="57"/>
        <v>2</v>
      </c>
      <c r="CP17" s="22">
        <f t="shared" si="213"/>
        <v>0</v>
      </c>
      <c r="CQ17" s="22">
        <v>1</v>
      </c>
      <c r="CR17" s="22">
        <f t="shared" si="59"/>
        <v>3</v>
      </c>
      <c r="CS17" s="22">
        <f t="shared" si="214"/>
        <v>0</v>
      </c>
      <c r="CT17" s="22">
        <v>1</v>
      </c>
      <c r="CU17" s="22">
        <f t="shared" si="61"/>
        <v>1</v>
      </c>
      <c r="CV17" s="22">
        <f t="shared" si="215"/>
        <v>0</v>
      </c>
      <c r="CW17" s="22"/>
      <c r="CX17" s="22">
        <f t="shared" si="63"/>
        <v>0</v>
      </c>
      <c r="CY17" s="22">
        <f t="shared" si="216"/>
        <v>0</v>
      </c>
      <c r="CZ17" s="22">
        <v>1</v>
      </c>
      <c r="DA17" s="22">
        <f t="shared" si="65"/>
        <v>6</v>
      </c>
      <c r="DB17" s="22">
        <f t="shared" si="217"/>
        <v>0</v>
      </c>
      <c r="DC17" s="22"/>
      <c r="DD17" s="22">
        <f t="shared" si="67"/>
        <v>0</v>
      </c>
      <c r="DE17" s="22">
        <f t="shared" si="218"/>
        <v>0</v>
      </c>
      <c r="DF17" s="22">
        <v>2</v>
      </c>
      <c r="DG17" s="22">
        <f t="shared" si="69"/>
        <v>0</v>
      </c>
      <c r="DH17" s="22">
        <f t="shared" si="219"/>
        <v>0</v>
      </c>
      <c r="DI17" s="22"/>
      <c r="DJ17" s="22">
        <f t="shared" si="71"/>
        <v>0</v>
      </c>
      <c r="DK17" s="22">
        <f t="shared" si="220"/>
        <v>0</v>
      </c>
      <c r="DL17" s="22">
        <v>1</v>
      </c>
      <c r="DM17" s="22">
        <f t="shared" si="73"/>
        <v>2</v>
      </c>
      <c r="DN17" s="22">
        <f t="shared" si="221"/>
        <v>0</v>
      </c>
      <c r="DO17" s="22">
        <v>1</v>
      </c>
      <c r="DP17" s="22">
        <f t="shared" si="75"/>
        <v>3</v>
      </c>
      <c r="DQ17" s="22">
        <f t="shared" si="222"/>
        <v>0</v>
      </c>
      <c r="DR17" s="22">
        <v>1</v>
      </c>
      <c r="DS17" s="22">
        <f t="shared" si="77"/>
        <v>1</v>
      </c>
      <c r="DT17" s="22">
        <f t="shared" si="223"/>
        <v>0</v>
      </c>
      <c r="DU17" s="22"/>
      <c r="DV17" s="22">
        <f t="shared" si="79"/>
        <v>0</v>
      </c>
      <c r="DW17" s="22">
        <f t="shared" si="224"/>
        <v>0</v>
      </c>
      <c r="DX17" s="22"/>
      <c r="DY17" s="22">
        <f t="shared" si="81"/>
        <v>0</v>
      </c>
      <c r="DZ17" s="22">
        <f t="shared" si="225"/>
        <v>0</v>
      </c>
      <c r="EA17" s="22"/>
      <c r="EB17" s="22">
        <f t="shared" si="83"/>
        <v>0</v>
      </c>
      <c r="EC17" s="22">
        <f t="shared" si="226"/>
        <v>0</v>
      </c>
      <c r="ED17" s="22">
        <v>1</v>
      </c>
      <c r="EE17" s="22">
        <f t="shared" si="85"/>
        <v>0</v>
      </c>
      <c r="EF17" s="22">
        <f t="shared" si="227"/>
        <v>0</v>
      </c>
      <c r="EG17" s="22">
        <v>1</v>
      </c>
      <c r="EH17" s="22">
        <f t="shared" si="87"/>
        <v>1</v>
      </c>
      <c r="EI17" s="22">
        <f t="shared" si="228"/>
        <v>0</v>
      </c>
      <c r="EJ17" s="22"/>
      <c r="EK17" s="22">
        <f t="shared" si="89"/>
        <v>0</v>
      </c>
      <c r="EL17" s="22">
        <f t="shared" si="229"/>
        <v>0</v>
      </c>
      <c r="EM17" s="22"/>
      <c r="EN17" s="22">
        <f t="shared" si="91"/>
        <v>0</v>
      </c>
      <c r="EO17" s="22">
        <f t="shared" si="230"/>
        <v>0</v>
      </c>
    </row>
    <row r="18" spans="1:145">
      <c r="A18" s="15">
        <v>40</v>
      </c>
      <c r="B18" s="15" t="s">
        <v>407</v>
      </c>
      <c r="C18" s="16" t="s">
        <v>391</v>
      </c>
      <c r="D18" s="15" t="s">
        <v>408</v>
      </c>
      <c r="E18" s="15"/>
      <c r="F18" s="19">
        <f t="shared" si="0"/>
        <v>4</v>
      </c>
      <c r="G18" s="20"/>
      <c r="H18" s="21"/>
      <c r="I18" s="22">
        <f t="shared" si="1"/>
        <v>0</v>
      </c>
      <c r="J18" s="22">
        <f t="shared" ref="J18:J19" si="231">$G18*H18</f>
        <v>0</v>
      </c>
      <c r="K18" s="22"/>
      <c r="L18" s="22">
        <f t="shared" si="3"/>
        <v>0</v>
      </c>
      <c r="M18" s="22">
        <f t="shared" ref="M18:M19" si="232">$G18*K18</f>
        <v>0</v>
      </c>
      <c r="N18" s="22"/>
      <c r="O18" s="22">
        <f t="shared" si="5"/>
        <v>0</v>
      </c>
      <c r="P18" s="22">
        <f t="shared" ref="P18:P19" si="233">$G18*N18</f>
        <v>0</v>
      </c>
      <c r="Q18" s="22"/>
      <c r="R18" s="22">
        <f t="shared" si="7"/>
        <v>0</v>
      </c>
      <c r="S18" s="22">
        <f t="shared" ref="S18:S19" si="234">$G18*Q18</f>
        <v>0</v>
      </c>
      <c r="T18" s="22"/>
      <c r="U18" s="22">
        <f t="shared" si="9"/>
        <v>0</v>
      </c>
      <c r="V18" s="22">
        <f t="shared" ref="V18:V19" si="235">$G18*T18</f>
        <v>0</v>
      </c>
      <c r="W18" s="22"/>
      <c r="X18" s="22">
        <f t="shared" si="11"/>
        <v>0</v>
      </c>
      <c r="Y18" s="22">
        <f t="shared" ref="Y18:Y19" si="236">$G18*W18</f>
        <v>0</v>
      </c>
      <c r="Z18" s="22"/>
      <c r="AA18" s="22">
        <f t="shared" si="13"/>
        <v>0</v>
      </c>
      <c r="AB18" s="22">
        <f t="shared" ref="AB18:AB19" si="237">$G18*Z18</f>
        <v>0</v>
      </c>
      <c r="AC18" s="22">
        <v>1</v>
      </c>
      <c r="AD18" s="22">
        <f t="shared" si="15"/>
        <v>0</v>
      </c>
      <c r="AE18" s="22">
        <f t="shared" ref="AE18:AE19" si="238">$G18*AC18</f>
        <v>0</v>
      </c>
      <c r="AF18" s="22">
        <v>1</v>
      </c>
      <c r="AG18" s="22">
        <f t="shared" si="17"/>
        <v>0</v>
      </c>
      <c r="AH18" s="22">
        <f t="shared" ref="AH18:AH19" si="239">$G18*AF18</f>
        <v>0</v>
      </c>
      <c r="AI18" s="22">
        <v>1</v>
      </c>
      <c r="AJ18" s="22">
        <f t="shared" si="19"/>
        <v>0</v>
      </c>
      <c r="AK18" s="22">
        <f t="shared" ref="AK18:AK19" si="240">$G18*AI18</f>
        <v>0</v>
      </c>
      <c r="AL18" s="22"/>
      <c r="AM18" s="22">
        <f t="shared" si="21"/>
        <v>0</v>
      </c>
      <c r="AN18" s="22">
        <f t="shared" ref="AN18:AN19" si="241">$G18*AL18</f>
        <v>0</v>
      </c>
      <c r="AO18" s="22"/>
      <c r="AP18" s="22">
        <f t="shared" si="23"/>
        <v>0</v>
      </c>
      <c r="AQ18" s="22">
        <f t="shared" ref="AQ18:AQ19" si="242">$G18*AO18</f>
        <v>0</v>
      </c>
      <c r="AR18" s="22"/>
      <c r="AS18" s="22">
        <f t="shared" si="25"/>
        <v>0</v>
      </c>
      <c r="AT18" s="22">
        <f t="shared" ref="AT18:AT19" si="243">$G18*AR18</f>
        <v>0</v>
      </c>
      <c r="AU18" s="22"/>
      <c r="AV18" s="22">
        <f t="shared" si="27"/>
        <v>0</v>
      </c>
      <c r="AW18" s="22">
        <f t="shared" ref="AW18:AW19" si="244">$G18*AU18</f>
        <v>0</v>
      </c>
      <c r="AX18" s="22"/>
      <c r="AY18" s="22">
        <f t="shared" si="29"/>
        <v>0</v>
      </c>
      <c r="AZ18" s="22">
        <f t="shared" ref="AZ18:AZ19" si="245">$G18*AX18</f>
        <v>0</v>
      </c>
      <c r="BA18" s="22">
        <v>2</v>
      </c>
      <c r="BB18" s="22">
        <f t="shared" si="31"/>
        <v>0</v>
      </c>
      <c r="BC18" s="22">
        <f t="shared" ref="BC18:BC19" si="246">$G18*BA18</f>
        <v>0</v>
      </c>
      <c r="BD18" s="22"/>
      <c r="BE18" s="22">
        <f t="shared" si="33"/>
        <v>0</v>
      </c>
      <c r="BF18" s="22">
        <f t="shared" ref="BF18:BF19" si="247">$G18*BD18</f>
        <v>0</v>
      </c>
      <c r="BG18" s="22"/>
      <c r="BH18" s="22">
        <f t="shared" si="35"/>
        <v>0</v>
      </c>
      <c r="BI18" s="22">
        <f t="shared" ref="BI18:BI19" si="248">$G18*BG18</f>
        <v>0</v>
      </c>
      <c r="BJ18" s="22"/>
      <c r="BK18" s="22">
        <f t="shared" si="37"/>
        <v>0</v>
      </c>
      <c r="BL18" s="22">
        <f t="shared" ref="BL18:BL19" si="249">$G18*BJ18</f>
        <v>0</v>
      </c>
      <c r="BM18" s="22"/>
      <c r="BN18" s="22">
        <f t="shared" si="39"/>
        <v>0</v>
      </c>
      <c r="BO18" s="22">
        <f t="shared" ref="BO18:BO19" si="250">$G18*BM18</f>
        <v>0</v>
      </c>
      <c r="BP18" s="22"/>
      <c r="BQ18" s="22">
        <f t="shared" si="41"/>
        <v>0</v>
      </c>
      <c r="BR18" s="22">
        <f t="shared" ref="BR18:BR19" si="251">$G18*BP18</f>
        <v>0</v>
      </c>
      <c r="BS18" s="22"/>
      <c r="BT18" s="22">
        <f t="shared" si="43"/>
        <v>0</v>
      </c>
      <c r="BU18" s="22">
        <f t="shared" ref="BU18:BU19" si="252">$G18*BS18</f>
        <v>0</v>
      </c>
      <c r="BV18" s="22"/>
      <c r="BW18" s="22">
        <f t="shared" si="45"/>
        <v>0</v>
      </c>
      <c r="BX18" s="22">
        <f t="shared" ref="BX18:BX19" si="253">$G18*BV18</f>
        <v>0</v>
      </c>
      <c r="BY18" s="22"/>
      <c r="BZ18" s="22">
        <f t="shared" si="47"/>
        <v>0</v>
      </c>
      <c r="CA18" s="22">
        <f t="shared" ref="CA18:CA19" si="254">$G18*BY18</f>
        <v>0</v>
      </c>
      <c r="CB18" s="22"/>
      <c r="CC18" s="22">
        <f t="shared" si="49"/>
        <v>0</v>
      </c>
      <c r="CD18" s="22">
        <f t="shared" ref="CD18:CD19" si="255">$G18*CB18</f>
        <v>0</v>
      </c>
      <c r="CE18" s="22"/>
      <c r="CF18" s="22">
        <f t="shared" si="51"/>
        <v>0</v>
      </c>
      <c r="CG18" s="22">
        <f t="shared" ref="CG18:CG19" si="256">$G18*CE18</f>
        <v>0</v>
      </c>
      <c r="CH18" s="22"/>
      <c r="CI18" s="22">
        <f t="shared" si="53"/>
        <v>0</v>
      </c>
      <c r="CJ18" s="22">
        <f t="shared" ref="CJ18:CJ19" si="257">$G18*CH18</f>
        <v>0</v>
      </c>
      <c r="CK18" s="22"/>
      <c r="CL18" s="22">
        <f t="shared" si="55"/>
        <v>0</v>
      </c>
      <c r="CM18" s="22">
        <f t="shared" ref="CM18:CM19" si="258">$G18*CK18</f>
        <v>0</v>
      </c>
      <c r="CN18" s="22"/>
      <c r="CO18" s="22">
        <f t="shared" si="57"/>
        <v>0</v>
      </c>
      <c r="CP18" s="22">
        <f t="shared" ref="CP18:CP19" si="259">$G18*CN18</f>
        <v>0</v>
      </c>
      <c r="CQ18" s="22"/>
      <c r="CR18" s="22">
        <f t="shared" si="59"/>
        <v>0</v>
      </c>
      <c r="CS18" s="22">
        <f t="shared" ref="CS18:CS19" si="260">$G18*CQ18</f>
        <v>0</v>
      </c>
      <c r="CT18" s="22">
        <v>2</v>
      </c>
      <c r="CU18" s="22">
        <f t="shared" si="61"/>
        <v>2</v>
      </c>
      <c r="CV18" s="22">
        <f t="shared" ref="CV18:CV19" si="261">$G18*CT18</f>
        <v>0</v>
      </c>
      <c r="CW18" s="22"/>
      <c r="CX18" s="22">
        <f t="shared" si="63"/>
        <v>0</v>
      </c>
      <c r="CY18" s="22">
        <f t="shared" ref="CY18:CY19" si="262">$G18*CW18</f>
        <v>0</v>
      </c>
      <c r="CZ18" s="22"/>
      <c r="DA18" s="22">
        <f t="shared" si="65"/>
        <v>0</v>
      </c>
      <c r="DB18" s="22">
        <f t="shared" ref="DB18:DB19" si="263">$G18*CZ18</f>
        <v>0</v>
      </c>
      <c r="DC18" s="22"/>
      <c r="DD18" s="22">
        <f t="shared" si="67"/>
        <v>0</v>
      </c>
      <c r="DE18" s="22">
        <f t="shared" ref="DE18:DE19" si="264">$G18*DC18</f>
        <v>0</v>
      </c>
      <c r="DF18" s="22"/>
      <c r="DG18" s="22">
        <f t="shared" si="69"/>
        <v>0</v>
      </c>
      <c r="DH18" s="22">
        <f t="shared" ref="DH18:DH19" si="265">$G18*DF18</f>
        <v>0</v>
      </c>
      <c r="DI18" s="22"/>
      <c r="DJ18" s="22">
        <f t="shared" si="71"/>
        <v>0</v>
      </c>
      <c r="DK18" s="22">
        <f t="shared" ref="DK18:DK19" si="266">$G18*DI18</f>
        <v>0</v>
      </c>
      <c r="DL18" s="22"/>
      <c r="DM18" s="22">
        <f t="shared" si="73"/>
        <v>0</v>
      </c>
      <c r="DN18" s="22">
        <f t="shared" ref="DN18:DN19" si="267">$G18*DL18</f>
        <v>0</v>
      </c>
      <c r="DO18" s="22"/>
      <c r="DP18" s="22">
        <f t="shared" si="75"/>
        <v>0</v>
      </c>
      <c r="DQ18" s="22">
        <f t="shared" ref="DQ18:DQ19" si="268">$G18*DO18</f>
        <v>0</v>
      </c>
      <c r="DR18" s="22"/>
      <c r="DS18" s="22">
        <f t="shared" si="77"/>
        <v>0</v>
      </c>
      <c r="DT18" s="22">
        <f t="shared" ref="DT18:DT19" si="269">$G18*DR18</f>
        <v>0</v>
      </c>
      <c r="DU18" s="22"/>
      <c r="DV18" s="22">
        <f t="shared" si="79"/>
        <v>0</v>
      </c>
      <c r="DW18" s="22">
        <f t="shared" ref="DW18:DW19" si="270">$G18*DU18</f>
        <v>0</v>
      </c>
      <c r="DX18" s="22">
        <v>1</v>
      </c>
      <c r="DY18" s="22">
        <f t="shared" si="81"/>
        <v>0</v>
      </c>
      <c r="DZ18" s="22">
        <f t="shared" ref="DZ18:DZ19" si="271">$G18*DX18</f>
        <v>0</v>
      </c>
      <c r="EA18" s="22"/>
      <c r="EB18" s="22">
        <f t="shared" si="83"/>
        <v>0</v>
      </c>
      <c r="EC18" s="22">
        <f t="shared" ref="EC18:EC19" si="272">$G18*EA18</f>
        <v>0</v>
      </c>
      <c r="ED18" s="22"/>
      <c r="EE18" s="22">
        <f t="shared" si="85"/>
        <v>0</v>
      </c>
      <c r="EF18" s="22">
        <f t="shared" ref="EF18:EF19" si="273">$G18*ED18</f>
        <v>0</v>
      </c>
      <c r="EG18" s="22">
        <v>2</v>
      </c>
      <c r="EH18" s="22">
        <f t="shared" si="87"/>
        <v>2</v>
      </c>
      <c r="EI18" s="22">
        <f t="shared" ref="EI18:EI19" si="274">$G18*EG18</f>
        <v>0</v>
      </c>
      <c r="EJ18" s="22"/>
      <c r="EK18" s="22">
        <f t="shared" si="89"/>
        <v>0</v>
      </c>
      <c r="EL18" s="22">
        <f t="shared" ref="EL18:EL19" si="275">$G18*EJ18</f>
        <v>0</v>
      </c>
      <c r="EM18" s="22"/>
      <c r="EN18" s="22">
        <f t="shared" si="91"/>
        <v>0</v>
      </c>
      <c r="EO18" s="22">
        <f t="shared" ref="EO18:EO19" si="276">$G18*EM18</f>
        <v>0</v>
      </c>
    </row>
    <row r="19" spans="1:145">
      <c r="A19" s="15">
        <v>41</v>
      </c>
      <c r="B19" s="15" t="s">
        <v>409</v>
      </c>
      <c r="C19" s="25" t="s">
        <v>394</v>
      </c>
      <c r="D19" s="15" t="s">
        <v>410</v>
      </c>
      <c r="E19" s="15"/>
      <c r="F19" s="19">
        <f t="shared" si="0"/>
        <v>2</v>
      </c>
      <c r="G19" s="20"/>
      <c r="H19" s="21"/>
      <c r="I19" s="22">
        <f t="shared" si="1"/>
        <v>0</v>
      </c>
      <c r="J19" s="22">
        <f t="shared" si="231"/>
        <v>0</v>
      </c>
      <c r="K19" s="22"/>
      <c r="L19" s="22">
        <f t="shared" si="3"/>
        <v>0</v>
      </c>
      <c r="M19" s="22">
        <f t="shared" si="232"/>
        <v>0</v>
      </c>
      <c r="N19" s="22"/>
      <c r="O19" s="22">
        <f t="shared" si="5"/>
        <v>0</v>
      </c>
      <c r="P19" s="22">
        <f t="shared" si="233"/>
        <v>0</v>
      </c>
      <c r="Q19" s="22"/>
      <c r="R19" s="22">
        <f t="shared" si="7"/>
        <v>0</v>
      </c>
      <c r="S19" s="22">
        <f t="shared" si="234"/>
        <v>0</v>
      </c>
      <c r="T19" s="22"/>
      <c r="U19" s="22">
        <f t="shared" si="9"/>
        <v>0</v>
      </c>
      <c r="V19" s="22">
        <f t="shared" si="235"/>
        <v>0</v>
      </c>
      <c r="W19" s="22"/>
      <c r="X19" s="22">
        <f t="shared" si="11"/>
        <v>0</v>
      </c>
      <c r="Y19" s="22">
        <f t="shared" si="236"/>
        <v>0</v>
      </c>
      <c r="Z19" s="22"/>
      <c r="AA19" s="22">
        <f t="shared" si="13"/>
        <v>0</v>
      </c>
      <c r="AB19" s="22">
        <f t="shared" si="237"/>
        <v>0</v>
      </c>
      <c r="AC19" s="22">
        <v>1</v>
      </c>
      <c r="AD19" s="22">
        <f t="shared" si="15"/>
        <v>0</v>
      </c>
      <c r="AE19" s="22">
        <f t="shared" si="238"/>
        <v>0</v>
      </c>
      <c r="AF19" s="22">
        <v>1</v>
      </c>
      <c r="AG19" s="22">
        <f t="shared" si="17"/>
        <v>0</v>
      </c>
      <c r="AH19" s="22">
        <f t="shared" si="239"/>
        <v>0</v>
      </c>
      <c r="AI19" s="22">
        <v>1</v>
      </c>
      <c r="AJ19" s="22">
        <f t="shared" si="19"/>
        <v>0</v>
      </c>
      <c r="AK19" s="22">
        <f t="shared" si="240"/>
        <v>0</v>
      </c>
      <c r="AL19" s="22">
        <v>1</v>
      </c>
      <c r="AM19" s="22">
        <f t="shared" si="21"/>
        <v>1</v>
      </c>
      <c r="AN19" s="22">
        <f t="shared" si="241"/>
        <v>0</v>
      </c>
      <c r="AO19" s="22"/>
      <c r="AP19" s="22">
        <f t="shared" si="23"/>
        <v>0</v>
      </c>
      <c r="AQ19" s="22">
        <f t="shared" si="242"/>
        <v>0</v>
      </c>
      <c r="AR19" s="22"/>
      <c r="AS19" s="22">
        <f t="shared" si="25"/>
        <v>0</v>
      </c>
      <c r="AT19" s="22">
        <f t="shared" si="243"/>
        <v>0</v>
      </c>
      <c r="AU19" s="22"/>
      <c r="AV19" s="22">
        <f t="shared" si="27"/>
        <v>0</v>
      </c>
      <c r="AW19" s="22">
        <f t="shared" si="244"/>
        <v>0</v>
      </c>
      <c r="AX19" s="22"/>
      <c r="AY19" s="22">
        <f t="shared" si="29"/>
        <v>0</v>
      </c>
      <c r="AZ19" s="22">
        <f t="shared" si="245"/>
        <v>0</v>
      </c>
      <c r="BA19" s="22"/>
      <c r="BB19" s="22">
        <f t="shared" si="31"/>
        <v>0</v>
      </c>
      <c r="BC19" s="22">
        <f t="shared" si="246"/>
        <v>0</v>
      </c>
      <c r="BD19" s="22"/>
      <c r="BE19" s="22">
        <f t="shared" si="33"/>
        <v>0</v>
      </c>
      <c r="BF19" s="22">
        <f t="shared" si="247"/>
        <v>0</v>
      </c>
      <c r="BG19" s="22"/>
      <c r="BH19" s="22">
        <f t="shared" si="35"/>
        <v>0</v>
      </c>
      <c r="BI19" s="22">
        <f t="shared" si="248"/>
        <v>0</v>
      </c>
      <c r="BJ19" s="22"/>
      <c r="BK19" s="22">
        <f t="shared" si="37"/>
        <v>0</v>
      </c>
      <c r="BL19" s="22">
        <f t="shared" si="249"/>
        <v>0</v>
      </c>
      <c r="BM19" s="22"/>
      <c r="BN19" s="22">
        <f t="shared" si="39"/>
        <v>0</v>
      </c>
      <c r="BO19" s="22">
        <f t="shared" si="250"/>
        <v>0</v>
      </c>
      <c r="BP19" s="22"/>
      <c r="BQ19" s="22">
        <f t="shared" si="41"/>
        <v>0</v>
      </c>
      <c r="BR19" s="22">
        <f t="shared" si="251"/>
        <v>0</v>
      </c>
      <c r="BS19" s="22"/>
      <c r="BT19" s="22">
        <f t="shared" si="43"/>
        <v>0</v>
      </c>
      <c r="BU19" s="22">
        <f t="shared" si="252"/>
        <v>0</v>
      </c>
      <c r="BV19" s="22"/>
      <c r="BW19" s="22">
        <f t="shared" si="45"/>
        <v>0</v>
      </c>
      <c r="BX19" s="22">
        <f t="shared" si="253"/>
        <v>0</v>
      </c>
      <c r="BY19" s="22"/>
      <c r="BZ19" s="22">
        <f t="shared" si="47"/>
        <v>0</v>
      </c>
      <c r="CA19" s="22">
        <f t="shared" si="254"/>
        <v>0</v>
      </c>
      <c r="CB19" s="22"/>
      <c r="CC19" s="22">
        <f t="shared" si="49"/>
        <v>0</v>
      </c>
      <c r="CD19" s="22">
        <f t="shared" si="255"/>
        <v>0</v>
      </c>
      <c r="CE19" s="22"/>
      <c r="CF19" s="22">
        <f t="shared" si="51"/>
        <v>0</v>
      </c>
      <c r="CG19" s="22">
        <f t="shared" si="256"/>
        <v>0</v>
      </c>
      <c r="CH19" s="22"/>
      <c r="CI19" s="22">
        <f t="shared" si="53"/>
        <v>0</v>
      </c>
      <c r="CJ19" s="22">
        <f t="shared" si="257"/>
        <v>0</v>
      </c>
      <c r="CK19" s="22"/>
      <c r="CL19" s="22">
        <f t="shared" si="55"/>
        <v>0</v>
      </c>
      <c r="CM19" s="22">
        <f t="shared" si="258"/>
        <v>0</v>
      </c>
      <c r="CN19" s="22"/>
      <c r="CO19" s="22">
        <f t="shared" si="57"/>
        <v>0</v>
      </c>
      <c r="CP19" s="22">
        <f t="shared" si="259"/>
        <v>0</v>
      </c>
      <c r="CQ19" s="22"/>
      <c r="CR19" s="22">
        <f t="shared" si="59"/>
        <v>0</v>
      </c>
      <c r="CS19" s="22">
        <f t="shared" si="260"/>
        <v>0</v>
      </c>
      <c r="CT19" s="22"/>
      <c r="CU19" s="22">
        <f t="shared" si="61"/>
        <v>0</v>
      </c>
      <c r="CV19" s="22">
        <f t="shared" si="261"/>
        <v>0</v>
      </c>
      <c r="CW19" s="22"/>
      <c r="CX19" s="22">
        <f t="shared" si="63"/>
        <v>0</v>
      </c>
      <c r="CY19" s="22">
        <f t="shared" si="262"/>
        <v>0</v>
      </c>
      <c r="CZ19" s="22"/>
      <c r="DA19" s="22">
        <f t="shared" si="65"/>
        <v>0</v>
      </c>
      <c r="DB19" s="22">
        <f t="shared" si="263"/>
        <v>0</v>
      </c>
      <c r="DC19" s="22"/>
      <c r="DD19" s="22">
        <f t="shared" si="67"/>
        <v>0</v>
      </c>
      <c r="DE19" s="22">
        <f t="shared" si="264"/>
        <v>0</v>
      </c>
      <c r="DF19" s="22"/>
      <c r="DG19" s="22">
        <f t="shared" si="69"/>
        <v>0</v>
      </c>
      <c r="DH19" s="22">
        <f t="shared" si="265"/>
        <v>0</v>
      </c>
      <c r="DI19" s="22"/>
      <c r="DJ19" s="22">
        <f t="shared" si="71"/>
        <v>0</v>
      </c>
      <c r="DK19" s="22">
        <f t="shared" si="266"/>
        <v>0</v>
      </c>
      <c r="DL19" s="22"/>
      <c r="DM19" s="22">
        <f t="shared" si="73"/>
        <v>0</v>
      </c>
      <c r="DN19" s="22">
        <f t="shared" si="267"/>
        <v>0</v>
      </c>
      <c r="DO19" s="22"/>
      <c r="DP19" s="22">
        <f t="shared" si="75"/>
        <v>0</v>
      </c>
      <c r="DQ19" s="22">
        <f t="shared" si="268"/>
        <v>0</v>
      </c>
      <c r="DR19" s="22"/>
      <c r="DS19" s="22">
        <f t="shared" si="77"/>
        <v>0</v>
      </c>
      <c r="DT19" s="22">
        <f t="shared" si="269"/>
        <v>0</v>
      </c>
      <c r="DU19" s="22"/>
      <c r="DV19" s="22">
        <f t="shared" si="79"/>
        <v>0</v>
      </c>
      <c r="DW19" s="22">
        <f t="shared" si="270"/>
        <v>0</v>
      </c>
      <c r="DX19" s="22"/>
      <c r="DY19" s="22">
        <f t="shared" si="81"/>
        <v>0</v>
      </c>
      <c r="DZ19" s="22">
        <f t="shared" si="271"/>
        <v>0</v>
      </c>
      <c r="EA19" s="22">
        <v>1</v>
      </c>
      <c r="EB19" s="22">
        <f t="shared" si="83"/>
        <v>0</v>
      </c>
      <c r="EC19" s="22">
        <f t="shared" si="272"/>
        <v>0</v>
      </c>
      <c r="ED19" s="22">
        <v>1</v>
      </c>
      <c r="EE19" s="22">
        <f t="shared" si="85"/>
        <v>0</v>
      </c>
      <c r="EF19" s="22">
        <f t="shared" si="273"/>
        <v>0</v>
      </c>
      <c r="EG19" s="22">
        <v>1</v>
      </c>
      <c r="EH19" s="22">
        <f t="shared" si="87"/>
        <v>1</v>
      </c>
      <c r="EI19" s="22">
        <f t="shared" si="274"/>
        <v>0</v>
      </c>
      <c r="EJ19" s="22"/>
      <c r="EK19" s="22">
        <f t="shared" si="89"/>
        <v>0</v>
      </c>
      <c r="EL19" s="22">
        <f t="shared" si="275"/>
        <v>0</v>
      </c>
      <c r="EM19" s="22"/>
      <c r="EN19" s="22">
        <f t="shared" si="91"/>
        <v>0</v>
      </c>
      <c r="EO19" s="22">
        <f t="shared" si="276"/>
        <v>0</v>
      </c>
    </row>
    <row r="20" spans="1:145">
      <c r="A20" s="15">
        <v>49</v>
      </c>
      <c r="B20" s="15" t="s">
        <v>411</v>
      </c>
      <c r="C20" s="16" t="s">
        <v>401</v>
      </c>
      <c r="D20" s="15" t="s">
        <v>412</v>
      </c>
      <c r="E20" s="15" t="s">
        <v>399</v>
      </c>
      <c r="F20" s="19">
        <f t="shared" si="0"/>
        <v>60</v>
      </c>
      <c r="G20" s="20"/>
      <c r="H20" s="21"/>
      <c r="I20" s="22">
        <f t="shared" si="1"/>
        <v>0</v>
      </c>
      <c r="J20" s="22">
        <f t="shared" ref="J20:J26" si="277">$G20*H20</f>
        <v>0</v>
      </c>
      <c r="K20" s="22"/>
      <c r="L20" s="22">
        <f t="shared" si="3"/>
        <v>0</v>
      </c>
      <c r="M20" s="22">
        <f t="shared" ref="M20:M26" si="278">$G20*K20</f>
        <v>0</v>
      </c>
      <c r="N20" s="22"/>
      <c r="O20" s="22">
        <f t="shared" si="5"/>
        <v>0</v>
      </c>
      <c r="P20" s="22">
        <f t="shared" ref="P20:P26" si="279">$G20*N20</f>
        <v>0</v>
      </c>
      <c r="Q20" s="22"/>
      <c r="R20" s="22">
        <f t="shared" si="7"/>
        <v>0</v>
      </c>
      <c r="S20" s="22">
        <f t="shared" ref="S20:S26" si="280">$G20*Q20</f>
        <v>0</v>
      </c>
      <c r="T20" s="22"/>
      <c r="U20" s="22">
        <f t="shared" si="9"/>
        <v>0</v>
      </c>
      <c r="V20" s="22">
        <f t="shared" ref="V20:V26" si="281">$G20*T20</f>
        <v>0</v>
      </c>
      <c r="W20" s="22"/>
      <c r="X20" s="22">
        <f t="shared" si="11"/>
        <v>0</v>
      </c>
      <c r="Y20" s="22">
        <f t="shared" ref="Y20:Y26" si="282">$G20*W20</f>
        <v>0</v>
      </c>
      <c r="Z20" s="22"/>
      <c r="AA20" s="22">
        <f t="shared" si="13"/>
        <v>0</v>
      </c>
      <c r="AB20" s="22">
        <f t="shared" ref="AB20:AB26" si="283">$G20*Z20</f>
        <v>0</v>
      </c>
      <c r="AC20" s="22"/>
      <c r="AD20" s="22">
        <f t="shared" si="15"/>
        <v>0</v>
      </c>
      <c r="AE20" s="22">
        <f t="shared" ref="AE20:AE26" si="284">$G20*AC20</f>
        <v>0</v>
      </c>
      <c r="AF20" s="22"/>
      <c r="AG20" s="22">
        <f t="shared" si="17"/>
        <v>0</v>
      </c>
      <c r="AH20" s="22">
        <f t="shared" ref="AH20:AH26" si="285">$G20*AF20</f>
        <v>0</v>
      </c>
      <c r="AI20" s="22"/>
      <c r="AJ20" s="22">
        <f t="shared" si="19"/>
        <v>0</v>
      </c>
      <c r="AK20" s="22">
        <f t="shared" ref="AK20:AK26" si="286">$G20*AI20</f>
        <v>0</v>
      </c>
      <c r="AL20" s="22">
        <v>6</v>
      </c>
      <c r="AM20" s="22">
        <f t="shared" si="21"/>
        <v>6</v>
      </c>
      <c r="AN20" s="22">
        <f t="shared" ref="AN20:AN26" si="287">$G20*AL20</f>
        <v>0</v>
      </c>
      <c r="AO20" s="22"/>
      <c r="AP20" s="22">
        <f t="shared" si="23"/>
        <v>0</v>
      </c>
      <c r="AQ20" s="22">
        <f t="shared" ref="AQ20:AQ26" si="288">$G20*AO20</f>
        <v>0</v>
      </c>
      <c r="AR20" s="22"/>
      <c r="AS20" s="22">
        <f t="shared" si="25"/>
        <v>0</v>
      </c>
      <c r="AT20" s="22">
        <f t="shared" ref="AT20:AT26" si="289">$G20*AR20</f>
        <v>0</v>
      </c>
      <c r="AU20" s="22">
        <v>3</v>
      </c>
      <c r="AV20" s="22">
        <f t="shared" si="27"/>
        <v>3</v>
      </c>
      <c r="AW20" s="22">
        <f t="shared" ref="AW20:AW26" si="290">$G20*AU20</f>
        <v>0</v>
      </c>
      <c r="AX20" s="22">
        <v>6</v>
      </c>
      <c r="AY20" s="22">
        <f t="shared" si="29"/>
        <v>0</v>
      </c>
      <c r="AZ20" s="22">
        <f t="shared" ref="AZ20:AZ26" si="291">$G20*AX20</f>
        <v>0</v>
      </c>
      <c r="BA20" s="22"/>
      <c r="BB20" s="22">
        <f t="shared" si="31"/>
        <v>0</v>
      </c>
      <c r="BC20" s="22">
        <f t="shared" ref="BC20:BC26" si="292">$G20*BA20</f>
        <v>0</v>
      </c>
      <c r="BD20" s="22"/>
      <c r="BE20" s="22">
        <f t="shared" si="33"/>
        <v>0</v>
      </c>
      <c r="BF20" s="22">
        <f t="shared" ref="BF20:BF26" si="293">$G20*BD20</f>
        <v>0</v>
      </c>
      <c r="BG20" s="22">
        <v>6</v>
      </c>
      <c r="BH20" s="22">
        <f t="shared" si="35"/>
        <v>6</v>
      </c>
      <c r="BI20" s="22">
        <f t="shared" ref="BI20:BI26" si="294">$G20*BG20</f>
        <v>0</v>
      </c>
      <c r="BJ20" s="22">
        <v>6</v>
      </c>
      <c r="BK20" s="22">
        <f t="shared" si="37"/>
        <v>0</v>
      </c>
      <c r="BL20" s="22">
        <f t="shared" ref="BL20:BL26" si="295">$G20*BJ20</f>
        <v>0</v>
      </c>
      <c r="BM20" s="22">
        <v>3</v>
      </c>
      <c r="BN20" s="22">
        <f t="shared" si="39"/>
        <v>6</v>
      </c>
      <c r="BO20" s="22">
        <f t="shared" ref="BO20:BO26" si="296">$G20*BM20</f>
        <v>0</v>
      </c>
      <c r="BP20" s="22"/>
      <c r="BQ20" s="22">
        <f t="shared" si="41"/>
        <v>0</v>
      </c>
      <c r="BR20" s="22">
        <f t="shared" ref="BR20:BR26" si="297">$G20*BP20</f>
        <v>0</v>
      </c>
      <c r="BS20" s="22"/>
      <c r="BT20" s="22">
        <f t="shared" si="43"/>
        <v>0</v>
      </c>
      <c r="BU20" s="22">
        <f t="shared" ref="BU20:BU26" si="298">$G20*BS20</f>
        <v>0</v>
      </c>
      <c r="BV20" s="22"/>
      <c r="BW20" s="22">
        <f t="shared" si="45"/>
        <v>0</v>
      </c>
      <c r="BX20" s="22">
        <f t="shared" ref="BX20:BX26" si="299">$G20*BV20</f>
        <v>0</v>
      </c>
      <c r="BY20" s="22"/>
      <c r="BZ20" s="22">
        <f t="shared" si="47"/>
        <v>0</v>
      </c>
      <c r="CA20" s="22">
        <f t="shared" ref="CA20:CA26" si="300">$G20*BY20</f>
        <v>0</v>
      </c>
      <c r="CB20" s="22"/>
      <c r="CC20" s="22">
        <f t="shared" si="49"/>
        <v>0</v>
      </c>
      <c r="CD20" s="22">
        <f t="shared" ref="CD20:CD26" si="301">$G20*CB20</f>
        <v>0</v>
      </c>
      <c r="CE20" s="22"/>
      <c r="CF20" s="22">
        <f t="shared" si="51"/>
        <v>0</v>
      </c>
      <c r="CG20" s="22">
        <f t="shared" ref="CG20:CG26" si="302">$G20*CE20</f>
        <v>0</v>
      </c>
      <c r="CH20" s="22"/>
      <c r="CI20" s="22">
        <f t="shared" si="53"/>
        <v>0</v>
      </c>
      <c r="CJ20" s="22">
        <f t="shared" ref="CJ20:CJ26" si="303">$G20*CH20</f>
        <v>0</v>
      </c>
      <c r="CK20" s="22"/>
      <c r="CL20" s="22">
        <f t="shared" si="55"/>
        <v>0</v>
      </c>
      <c r="CM20" s="22">
        <f t="shared" ref="CM20:CM26" si="304">$G20*CK20</f>
        <v>0</v>
      </c>
      <c r="CN20" s="22"/>
      <c r="CO20" s="22">
        <f t="shared" si="57"/>
        <v>0</v>
      </c>
      <c r="CP20" s="22">
        <f t="shared" ref="CP20:CP26" si="305">$G20*CN20</f>
        <v>0</v>
      </c>
      <c r="CQ20" s="22"/>
      <c r="CR20" s="22">
        <f t="shared" si="59"/>
        <v>0</v>
      </c>
      <c r="CS20" s="22">
        <f t="shared" ref="CS20:CS26" si="306">$G20*CQ20</f>
        <v>0</v>
      </c>
      <c r="CT20" s="22"/>
      <c r="CU20" s="22">
        <f t="shared" si="61"/>
        <v>0</v>
      </c>
      <c r="CV20" s="22">
        <f t="shared" ref="CV20:CV26" si="307">$G20*CT20</f>
        <v>0</v>
      </c>
      <c r="CW20" s="22">
        <v>3</v>
      </c>
      <c r="CX20" s="22">
        <f t="shared" si="63"/>
        <v>36</v>
      </c>
      <c r="CY20" s="22">
        <f t="shared" ref="CY20:CY26" si="308">$G20*CW20</f>
        <v>0</v>
      </c>
      <c r="CZ20" s="22"/>
      <c r="DA20" s="22">
        <f t="shared" si="65"/>
        <v>0</v>
      </c>
      <c r="DB20" s="22">
        <f t="shared" ref="DB20:DB26" si="309">$G20*CZ20</f>
        <v>0</v>
      </c>
      <c r="DC20" s="22"/>
      <c r="DD20" s="22">
        <f t="shared" si="67"/>
        <v>0</v>
      </c>
      <c r="DE20" s="22">
        <f t="shared" ref="DE20:DE26" si="310">$G20*DC20</f>
        <v>0</v>
      </c>
      <c r="DF20" s="22"/>
      <c r="DG20" s="22">
        <f t="shared" si="69"/>
        <v>0</v>
      </c>
      <c r="DH20" s="22">
        <f t="shared" ref="DH20:DH26" si="311">$G20*DF20</f>
        <v>0</v>
      </c>
      <c r="DI20" s="22">
        <v>3</v>
      </c>
      <c r="DJ20" s="22">
        <f t="shared" si="71"/>
        <v>3</v>
      </c>
      <c r="DK20" s="22">
        <f t="shared" ref="DK20:DK26" si="312">$G20*DI20</f>
        <v>0</v>
      </c>
      <c r="DL20" s="22"/>
      <c r="DM20" s="22">
        <f t="shared" si="73"/>
        <v>0</v>
      </c>
      <c r="DN20" s="22">
        <f t="shared" ref="DN20:DN26" si="313">$G20*DL20</f>
        <v>0</v>
      </c>
      <c r="DO20" s="22"/>
      <c r="DP20" s="22">
        <f t="shared" si="75"/>
        <v>0</v>
      </c>
      <c r="DQ20" s="22">
        <f t="shared" ref="DQ20:DQ26" si="314">$G20*DO20</f>
        <v>0</v>
      </c>
      <c r="DR20" s="22"/>
      <c r="DS20" s="22">
        <f t="shared" si="77"/>
        <v>0</v>
      </c>
      <c r="DT20" s="22">
        <f t="shared" ref="DT20:DT26" si="315">$G20*DR20</f>
        <v>0</v>
      </c>
      <c r="DU20" s="22">
        <v>6</v>
      </c>
      <c r="DV20" s="22">
        <f t="shared" si="79"/>
        <v>0</v>
      </c>
      <c r="DW20" s="22">
        <f t="shared" ref="DW20:DW26" si="316">$G20*DU20</f>
        <v>0</v>
      </c>
      <c r="DX20" s="22"/>
      <c r="DY20" s="22">
        <f t="shared" si="81"/>
        <v>0</v>
      </c>
      <c r="DZ20" s="22">
        <f t="shared" ref="DZ20:DZ26" si="317">$G20*DX20</f>
        <v>0</v>
      </c>
      <c r="EA20" s="22">
        <v>5</v>
      </c>
      <c r="EB20" s="22">
        <f t="shared" si="83"/>
        <v>0</v>
      </c>
      <c r="EC20" s="22">
        <f t="shared" ref="EC20:EC26" si="318">$G20*EA20</f>
        <v>0</v>
      </c>
      <c r="ED20" s="22"/>
      <c r="EE20" s="22">
        <f t="shared" si="85"/>
        <v>0</v>
      </c>
      <c r="EF20" s="22">
        <f t="shared" ref="EF20:EF26" si="319">$G20*ED20</f>
        <v>0</v>
      </c>
      <c r="EG20" s="22"/>
      <c r="EH20" s="22">
        <f t="shared" si="87"/>
        <v>0</v>
      </c>
      <c r="EI20" s="22">
        <f t="shared" ref="EI20:EI26" si="320">$G20*EG20</f>
        <v>0</v>
      </c>
      <c r="EJ20" s="22"/>
      <c r="EK20" s="22">
        <f t="shared" si="89"/>
        <v>0</v>
      </c>
      <c r="EL20" s="22">
        <f t="shared" ref="EL20:EL26" si="321">$G20*EJ20</f>
        <v>0</v>
      </c>
      <c r="EM20" s="22"/>
      <c r="EN20" s="22">
        <f t="shared" si="91"/>
        <v>0</v>
      </c>
      <c r="EO20" s="22">
        <f t="shared" ref="EO20:EO26" si="322">$G20*EM20</f>
        <v>0</v>
      </c>
    </row>
    <row r="21" spans="1:145">
      <c r="A21" s="15">
        <v>50</v>
      </c>
      <c r="B21" s="15" t="s">
        <v>413</v>
      </c>
      <c r="C21" s="16" t="s">
        <v>414</v>
      </c>
      <c r="D21" s="15" t="s">
        <v>415</v>
      </c>
      <c r="E21" s="15" t="s">
        <v>416</v>
      </c>
      <c r="F21" s="19">
        <f t="shared" si="0"/>
        <v>1</v>
      </c>
      <c r="G21" s="20"/>
      <c r="H21" s="21"/>
      <c r="I21" s="22">
        <f t="shared" si="1"/>
        <v>0</v>
      </c>
      <c r="J21" s="22">
        <f t="shared" si="277"/>
        <v>0</v>
      </c>
      <c r="K21" s="22"/>
      <c r="L21" s="22">
        <f t="shared" si="3"/>
        <v>0</v>
      </c>
      <c r="M21" s="22">
        <f t="shared" si="278"/>
        <v>0</v>
      </c>
      <c r="N21" s="22"/>
      <c r="O21" s="22">
        <f t="shared" si="5"/>
        <v>0</v>
      </c>
      <c r="P21" s="22">
        <f t="shared" si="279"/>
        <v>0</v>
      </c>
      <c r="Q21" s="22"/>
      <c r="R21" s="22">
        <f t="shared" si="7"/>
        <v>0</v>
      </c>
      <c r="S21" s="22">
        <f t="shared" si="280"/>
        <v>0</v>
      </c>
      <c r="T21" s="22"/>
      <c r="U21" s="22">
        <f t="shared" si="9"/>
        <v>0</v>
      </c>
      <c r="V21" s="22">
        <f t="shared" si="281"/>
        <v>0</v>
      </c>
      <c r="W21" s="22"/>
      <c r="X21" s="22">
        <f t="shared" si="11"/>
        <v>0</v>
      </c>
      <c r="Y21" s="22">
        <f t="shared" si="282"/>
        <v>0</v>
      </c>
      <c r="Z21" s="22"/>
      <c r="AA21" s="22">
        <f t="shared" si="13"/>
        <v>0</v>
      </c>
      <c r="AB21" s="22">
        <f t="shared" si="283"/>
        <v>0</v>
      </c>
      <c r="AC21" s="22"/>
      <c r="AD21" s="22">
        <f t="shared" si="15"/>
        <v>0</v>
      </c>
      <c r="AE21" s="22">
        <f t="shared" si="284"/>
        <v>0</v>
      </c>
      <c r="AF21" s="22"/>
      <c r="AG21" s="22">
        <f t="shared" si="17"/>
        <v>0</v>
      </c>
      <c r="AH21" s="22">
        <f t="shared" si="285"/>
        <v>0</v>
      </c>
      <c r="AI21" s="22"/>
      <c r="AJ21" s="22">
        <f t="shared" si="19"/>
        <v>0</v>
      </c>
      <c r="AK21" s="22">
        <f t="shared" si="286"/>
        <v>0</v>
      </c>
      <c r="AL21" s="22">
        <v>1</v>
      </c>
      <c r="AM21" s="22">
        <f t="shared" si="21"/>
        <v>1</v>
      </c>
      <c r="AN21" s="22">
        <f t="shared" si="287"/>
        <v>0</v>
      </c>
      <c r="AO21" s="22"/>
      <c r="AP21" s="22">
        <f t="shared" si="23"/>
        <v>0</v>
      </c>
      <c r="AQ21" s="22">
        <f t="shared" si="288"/>
        <v>0</v>
      </c>
      <c r="AR21" s="22"/>
      <c r="AS21" s="22">
        <f t="shared" si="25"/>
        <v>0</v>
      </c>
      <c r="AT21" s="22">
        <f t="shared" si="289"/>
        <v>0</v>
      </c>
      <c r="AU21" s="22"/>
      <c r="AV21" s="22">
        <f t="shared" si="27"/>
        <v>0</v>
      </c>
      <c r="AW21" s="22">
        <f t="shared" si="290"/>
        <v>0</v>
      </c>
      <c r="AX21" s="22"/>
      <c r="AY21" s="22">
        <f t="shared" si="29"/>
        <v>0</v>
      </c>
      <c r="AZ21" s="22">
        <f t="shared" si="291"/>
        <v>0</v>
      </c>
      <c r="BA21" s="22"/>
      <c r="BB21" s="22">
        <f t="shared" si="31"/>
        <v>0</v>
      </c>
      <c r="BC21" s="22">
        <f t="shared" si="292"/>
        <v>0</v>
      </c>
      <c r="BD21" s="22"/>
      <c r="BE21" s="22">
        <f t="shared" si="33"/>
        <v>0</v>
      </c>
      <c r="BF21" s="22">
        <f t="shared" si="293"/>
        <v>0</v>
      </c>
      <c r="BG21" s="22"/>
      <c r="BH21" s="22">
        <f t="shared" si="35"/>
        <v>0</v>
      </c>
      <c r="BI21" s="22">
        <f t="shared" si="294"/>
        <v>0</v>
      </c>
      <c r="BJ21" s="22"/>
      <c r="BK21" s="22">
        <f t="shared" si="37"/>
        <v>0</v>
      </c>
      <c r="BL21" s="22">
        <f t="shared" si="295"/>
        <v>0</v>
      </c>
      <c r="BM21" s="22"/>
      <c r="BN21" s="22">
        <f t="shared" si="39"/>
        <v>0</v>
      </c>
      <c r="BO21" s="22">
        <f t="shared" si="296"/>
        <v>0</v>
      </c>
      <c r="BP21" s="22"/>
      <c r="BQ21" s="22">
        <f t="shared" si="41"/>
        <v>0</v>
      </c>
      <c r="BR21" s="22">
        <f t="shared" si="297"/>
        <v>0</v>
      </c>
      <c r="BS21" s="22"/>
      <c r="BT21" s="22">
        <f t="shared" si="43"/>
        <v>0</v>
      </c>
      <c r="BU21" s="22">
        <f t="shared" si="298"/>
        <v>0</v>
      </c>
      <c r="BV21" s="22"/>
      <c r="BW21" s="22">
        <f t="shared" si="45"/>
        <v>0</v>
      </c>
      <c r="BX21" s="22">
        <f t="shared" si="299"/>
        <v>0</v>
      </c>
      <c r="BY21" s="22"/>
      <c r="BZ21" s="22">
        <f t="shared" si="47"/>
        <v>0</v>
      </c>
      <c r="CA21" s="22">
        <f t="shared" si="300"/>
        <v>0</v>
      </c>
      <c r="CB21" s="22"/>
      <c r="CC21" s="22">
        <f t="shared" si="49"/>
        <v>0</v>
      </c>
      <c r="CD21" s="22">
        <f t="shared" si="301"/>
        <v>0</v>
      </c>
      <c r="CE21" s="22"/>
      <c r="CF21" s="22">
        <f t="shared" si="51"/>
        <v>0</v>
      </c>
      <c r="CG21" s="22">
        <f t="shared" si="302"/>
        <v>0</v>
      </c>
      <c r="CH21" s="22"/>
      <c r="CI21" s="22">
        <f t="shared" si="53"/>
        <v>0</v>
      </c>
      <c r="CJ21" s="22">
        <f t="shared" si="303"/>
        <v>0</v>
      </c>
      <c r="CK21" s="22"/>
      <c r="CL21" s="22">
        <f t="shared" si="55"/>
        <v>0</v>
      </c>
      <c r="CM21" s="22">
        <f t="shared" si="304"/>
        <v>0</v>
      </c>
      <c r="CN21" s="22"/>
      <c r="CO21" s="22">
        <f t="shared" si="57"/>
        <v>0</v>
      </c>
      <c r="CP21" s="22">
        <f t="shared" si="305"/>
        <v>0</v>
      </c>
      <c r="CQ21" s="22"/>
      <c r="CR21" s="22">
        <f t="shared" si="59"/>
        <v>0</v>
      </c>
      <c r="CS21" s="22">
        <f t="shared" si="306"/>
        <v>0</v>
      </c>
      <c r="CT21" s="22"/>
      <c r="CU21" s="22">
        <f t="shared" si="61"/>
        <v>0</v>
      </c>
      <c r="CV21" s="22">
        <f t="shared" si="307"/>
        <v>0</v>
      </c>
      <c r="CW21" s="22"/>
      <c r="CX21" s="22">
        <f t="shared" si="63"/>
        <v>0</v>
      </c>
      <c r="CY21" s="22">
        <f t="shared" si="308"/>
        <v>0</v>
      </c>
      <c r="CZ21" s="22"/>
      <c r="DA21" s="22">
        <f t="shared" si="65"/>
        <v>0</v>
      </c>
      <c r="DB21" s="22">
        <f t="shared" si="309"/>
        <v>0</v>
      </c>
      <c r="DC21" s="22"/>
      <c r="DD21" s="22">
        <f t="shared" si="67"/>
        <v>0</v>
      </c>
      <c r="DE21" s="22">
        <f t="shared" si="310"/>
        <v>0</v>
      </c>
      <c r="DF21" s="22"/>
      <c r="DG21" s="22">
        <f t="shared" si="69"/>
        <v>0</v>
      </c>
      <c r="DH21" s="22">
        <f t="shared" si="311"/>
        <v>0</v>
      </c>
      <c r="DI21" s="22"/>
      <c r="DJ21" s="22">
        <f t="shared" si="71"/>
        <v>0</v>
      </c>
      <c r="DK21" s="22">
        <f t="shared" si="312"/>
        <v>0</v>
      </c>
      <c r="DL21" s="22"/>
      <c r="DM21" s="22">
        <f t="shared" si="73"/>
        <v>0</v>
      </c>
      <c r="DN21" s="22">
        <f t="shared" si="313"/>
        <v>0</v>
      </c>
      <c r="DO21" s="22"/>
      <c r="DP21" s="22">
        <f t="shared" si="75"/>
        <v>0</v>
      </c>
      <c r="DQ21" s="22">
        <f t="shared" si="314"/>
        <v>0</v>
      </c>
      <c r="DR21" s="22"/>
      <c r="DS21" s="22">
        <f t="shared" si="77"/>
        <v>0</v>
      </c>
      <c r="DT21" s="22">
        <f t="shared" si="315"/>
        <v>0</v>
      </c>
      <c r="DU21" s="22"/>
      <c r="DV21" s="22">
        <f t="shared" si="79"/>
        <v>0</v>
      </c>
      <c r="DW21" s="22">
        <f t="shared" si="316"/>
        <v>0</v>
      </c>
      <c r="DX21" s="22"/>
      <c r="DY21" s="22">
        <f t="shared" si="81"/>
        <v>0</v>
      </c>
      <c r="DZ21" s="22">
        <f t="shared" si="317"/>
        <v>0</v>
      </c>
      <c r="EA21" s="22"/>
      <c r="EB21" s="22">
        <f t="shared" si="83"/>
        <v>0</v>
      </c>
      <c r="EC21" s="22">
        <f t="shared" si="318"/>
        <v>0</v>
      </c>
      <c r="ED21" s="22"/>
      <c r="EE21" s="22">
        <f t="shared" si="85"/>
        <v>0</v>
      </c>
      <c r="EF21" s="22">
        <f t="shared" si="319"/>
        <v>0</v>
      </c>
      <c r="EG21" s="22"/>
      <c r="EH21" s="22">
        <f t="shared" si="87"/>
        <v>0</v>
      </c>
      <c r="EI21" s="22">
        <f t="shared" si="320"/>
        <v>0</v>
      </c>
      <c r="EJ21" s="22"/>
      <c r="EK21" s="22">
        <f t="shared" si="89"/>
        <v>0</v>
      </c>
      <c r="EL21" s="22">
        <f t="shared" si="321"/>
        <v>0</v>
      </c>
      <c r="EM21" s="22"/>
      <c r="EN21" s="22">
        <f t="shared" si="91"/>
        <v>0</v>
      </c>
      <c r="EO21" s="22">
        <f t="shared" si="322"/>
        <v>0</v>
      </c>
    </row>
    <row r="22" spans="1:145">
      <c r="A22" s="15">
        <v>51</v>
      </c>
      <c r="B22" s="16" t="s">
        <v>417</v>
      </c>
      <c r="C22" s="16" t="s">
        <v>414</v>
      </c>
      <c r="D22" s="15" t="s">
        <v>418</v>
      </c>
      <c r="E22" s="15" t="s">
        <v>416</v>
      </c>
      <c r="F22" s="19">
        <f t="shared" si="0"/>
        <v>1</v>
      </c>
      <c r="G22" s="20"/>
      <c r="H22" s="21"/>
      <c r="I22" s="22">
        <f t="shared" si="1"/>
        <v>0</v>
      </c>
      <c r="J22" s="22">
        <f t="shared" si="277"/>
        <v>0</v>
      </c>
      <c r="K22" s="22"/>
      <c r="L22" s="22">
        <f t="shared" si="3"/>
        <v>0</v>
      </c>
      <c r="M22" s="22">
        <f t="shared" si="278"/>
        <v>0</v>
      </c>
      <c r="N22" s="22"/>
      <c r="O22" s="22">
        <f t="shared" si="5"/>
        <v>0</v>
      </c>
      <c r="P22" s="22">
        <f t="shared" si="279"/>
        <v>0</v>
      </c>
      <c r="Q22" s="22"/>
      <c r="R22" s="22">
        <f t="shared" si="7"/>
        <v>0</v>
      </c>
      <c r="S22" s="22">
        <f t="shared" si="280"/>
        <v>0</v>
      </c>
      <c r="T22" s="22"/>
      <c r="U22" s="22">
        <f t="shared" si="9"/>
        <v>0</v>
      </c>
      <c r="V22" s="22">
        <f t="shared" si="281"/>
        <v>0</v>
      </c>
      <c r="W22" s="22"/>
      <c r="X22" s="22">
        <f t="shared" si="11"/>
        <v>0</v>
      </c>
      <c r="Y22" s="22">
        <f t="shared" si="282"/>
        <v>0</v>
      </c>
      <c r="Z22" s="22"/>
      <c r="AA22" s="22">
        <f t="shared" si="13"/>
        <v>0</v>
      </c>
      <c r="AB22" s="22">
        <f t="shared" si="283"/>
        <v>0</v>
      </c>
      <c r="AC22" s="22"/>
      <c r="AD22" s="22">
        <f t="shared" si="15"/>
        <v>0</v>
      </c>
      <c r="AE22" s="22">
        <f t="shared" si="284"/>
        <v>0</v>
      </c>
      <c r="AF22" s="22"/>
      <c r="AG22" s="22">
        <f t="shared" si="17"/>
        <v>0</v>
      </c>
      <c r="AH22" s="22">
        <f t="shared" si="285"/>
        <v>0</v>
      </c>
      <c r="AI22" s="22"/>
      <c r="AJ22" s="22">
        <f t="shared" si="19"/>
        <v>0</v>
      </c>
      <c r="AK22" s="22">
        <f t="shared" si="286"/>
        <v>0</v>
      </c>
      <c r="AL22" s="22">
        <v>1</v>
      </c>
      <c r="AM22" s="22">
        <f t="shared" si="21"/>
        <v>1</v>
      </c>
      <c r="AN22" s="22">
        <f t="shared" si="287"/>
        <v>0</v>
      </c>
      <c r="AO22" s="22"/>
      <c r="AP22" s="22">
        <f t="shared" si="23"/>
        <v>0</v>
      </c>
      <c r="AQ22" s="22">
        <f t="shared" si="288"/>
        <v>0</v>
      </c>
      <c r="AR22" s="22"/>
      <c r="AS22" s="22">
        <f t="shared" si="25"/>
        <v>0</v>
      </c>
      <c r="AT22" s="22">
        <f t="shared" si="289"/>
        <v>0</v>
      </c>
      <c r="AU22" s="22"/>
      <c r="AV22" s="22">
        <f t="shared" si="27"/>
        <v>0</v>
      </c>
      <c r="AW22" s="22">
        <f t="shared" si="290"/>
        <v>0</v>
      </c>
      <c r="AX22" s="22"/>
      <c r="AY22" s="22">
        <f t="shared" si="29"/>
        <v>0</v>
      </c>
      <c r="AZ22" s="22">
        <f t="shared" si="291"/>
        <v>0</v>
      </c>
      <c r="BA22" s="22"/>
      <c r="BB22" s="22">
        <f t="shared" si="31"/>
        <v>0</v>
      </c>
      <c r="BC22" s="22">
        <f t="shared" si="292"/>
        <v>0</v>
      </c>
      <c r="BD22" s="22"/>
      <c r="BE22" s="22">
        <f t="shared" si="33"/>
        <v>0</v>
      </c>
      <c r="BF22" s="22">
        <f t="shared" si="293"/>
        <v>0</v>
      </c>
      <c r="BG22" s="22"/>
      <c r="BH22" s="22">
        <f t="shared" si="35"/>
        <v>0</v>
      </c>
      <c r="BI22" s="22">
        <f t="shared" si="294"/>
        <v>0</v>
      </c>
      <c r="BJ22" s="22"/>
      <c r="BK22" s="22">
        <f t="shared" si="37"/>
        <v>0</v>
      </c>
      <c r="BL22" s="22">
        <f t="shared" si="295"/>
        <v>0</v>
      </c>
      <c r="BM22" s="22"/>
      <c r="BN22" s="22">
        <f t="shared" si="39"/>
        <v>0</v>
      </c>
      <c r="BO22" s="22">
        <f t="shared" si="296"/>
        <v>0</v>
      </c>
      <c r="BP22" s="22"/>
      <c r="BQ22" s="22">
        <f t="shared" si="41"/>
        <v>0</v>
      </c>
      <c r="BR22" s="22">
        <f t="shared" si="297"/>
        <v>0</v>
      </c>
      <c r="BS22" s="22"/>
      <c r="BT22" s="22">
        <f t="shared" si="43"/>
        <v>0</v>
      </c>
      <c r="BU22" s="22">
        <f t="shared" si="298"/>
        <v>0</v>
      </c>
      <c r="BV22" s="22"/>
      <c r="BW22" s="22">
        <f t="shared" si="45"/>
        <v>0</v>
      </c>
      <c r="BX22" s="22">
        <f t="shared" si="299"/>
        <v>0</v>
      </c>
      <c r="BY22" s="22"/>
      <c r="BZ22" s="22">
        <f t="shared" si="47"/>
        <v>0</v>
      </c>
      <c r="CA22" s="22">
        <f t="shared" si="300"/>
        <v>0</v>
      </c>
      <c r="CB22" s="22"/>
      <c r="CC22" s="22">
        <f t="shared" si="49"/>
        <v>0</v>
      </c>
      <c r="CD22" s="22">
        <f t="shared" si="301"/>
        <v>0</v>
      </c>
      <c r="CE22" s="22"/>
      <c r="CF22" s="22">
        <f t="shared" si="51"/>
        <v>0</v>
      </c>
      <c r="CG22" s="22">
        <f t="shared" si="302"/>
        <v>0</v>
      </c>
      <c r="CH22" s="22"/>
      <c r="CI22" s="22">
        <f t="shared" si="53"/>
        <v>0</v>
      </c>
      <c r="CJ22" s="22">
        <f t="shared" si="303"/>
        <v>0</v>
      </c>
      <c r="CK22" s="22"/>
      <c r="CL22" s="22">
        <f t="shared" si="55"/>
        <v>0</v>
      </c>
      <c r="CM22" s="22">
        <f t="shared" si="304"/>
        <v>0</v>
      </c>
      <c r="CN22" s="22"/>
      <c r="CO22" s="22">
        <f t="shared" si="57"/>
        <v>0</v>
      </c>
      <c r="CP22" s="22">
        <f t="shared" si="305"/>
        <v>0</v>
      </c>
      <c r="CQ22" s="22"/>
      <c r="CR22" s="22">
        <f t="shared" si="59"/>
        <v>0</v>
      </c>
      <c r="CS22" s="22">
        <f t="shared" si="306"/>
        <v>0</v>
      </c>
      <c r="CT22" s="22"/>
      <c r="CU22" s="22">
        <f t="shared" si="61"/>
        <v>0</v>
      </c>
      <c r="CV22" s="22">
        <f t="shared" si="307"/>
        <v>0</v>
      </c>
      <c r="CW22" s="22"/>
      <c r="CX22" s="22">
        <f t="shared" si="63"/>
        <v>0</v>
      </c>
      <c r="CY22" s="22">
        <f t="shared" si="308"/>
        <v>0</v>
      </c>
      <c r="CZ22" s="22"/>
      <c r="DA22" s="22">
        <f t="shared" si="65"/>
        <v>0</v>
      </c>
      <c r="DB22" s="22">
        <f t="shared" si="309"/>
        <v>0</v>
      </c>
      <c r="DC22" s="22"/>
      <c r="DD22" s="22">
        <f t="shared" si="67"/>
        <v>0</v>
      </c>
      <c r="DE22" s="22">
        <f t="shared" si="310"/>
        <v>0</v>
      </c>
      <c r="DF22" s="22"/>
      <c r="DG22" s="22">
        <f t="shared" si="69"/>
        <v>0</v>
      </c>
      <c r="DH22" s="22">
        <f t="shared" si="311"/>
        <v>0</v>
      </c>
      <c r="DI22" s="22"/>
      <c r="DJ22" s="22">
        <f t="shared" si="71"/>
        <v>0</v>
      </c>
      <c r="DK22" s="22">
        <f t="shared" si="312"/>
        <v>0</v>
      </c>
      <c r="DL22" s="22"/>
      <c r="DM22" s="22">
        <f t="shared" si="73"/>
        <v>0</v>
      </c>
      <c r="DN22" s="22">
        <f t="shared" si="313"/>
        <v>0</v>
      </c>
      <c r="DO22" s="22"/>
      <c r="DP22" s="22">
        <f t="shared" si="75"/>
        <v>0</v>
      </c>
      <c r="DQ22" s="22">
        <f t="shared" si="314"/>
        <v>0</v>
      </c>
      <c r="DR22" s="22"/>
      <c r="DS22" s="22">
        <f t="shared" si="77"/>
        <v>0</v>
      </c>
      <c r="DT22" s="22">
        <f t="shared" si="315"/>
        <v>0</v>
      </c>
      <c r="DU22" s="22"/>
      <c r="DV22" s="22">
        <f t="shared" si="79"/>
        <v>0</v>
      </c>
      <c r="DW22" s="22">
        <f t="shared" si="316"/>
        <v>0</v>
      </c>
      <c r="DX22" s="22"/>
      <c r="DY22" s="22">
        <f t="shared" si="81"/>
        <v>0</v>
      </c>
      <c r="DZ22" s="22">
        <f t="shared" si="317"/>
        <v>0</v>
      </c>
      <c r="EA22" s="22"/>
      <c r="EB22" s="22">
        <f t="shared" si="83"/>
        <v>0</v>
      </c>
      <c r="EC22" s="22">
        <f t="shared" si="318"/>
        <v>0</v>
      </c>
      <c r="ED22" s="22"/>
      <c r="EE22" s="22">
        <f t="shared" si="85"/>
        <v>0</v>
      </c>
      <c r="EF22" s="22">
        <f t="shared" si="319"/>
        <v>0</v>
      </c>
      <c r="EG22" s="22"/>
      <c r="EH22" s="22">
        <f t="shared" si="87"/>
        <v>0</v>
      </c>
      <c r="EI22" s="22">
        <f t="shared" si="320"/>
        <v>0</v>
      </c>
      <c r="EJ22" s="22"/>
      <c r="EK22" s="22">
        <f t="shared" si="89"/>
        <v>0</v>
      </c>
      <c r="EL22" s="22">
        <f t="shared" si="321"/>
        <v>0</v>
      </c>
      <c r="EM22" s="22"/>
      <c r="EN22" s="22">
        <f t="shared" si="91"/>
        <v>0</v>
      </c>
      <c r="EO22" s="22">
        <f t="shared" si="322"/>
        <v>0</v>
      </c>
    </row>
    <row r="23" spans="1:145">
      <c r="A23" s="15">
        <v>52</v>
      </c>
      <c r="B23" s="15" t="s">
        <v>419</v>
      </c>
      <c r="C23" s="15" t="s">
        <v>420</v>
      </c>
      <c r="D23" s="15" t="s">
        <v>421</v>
      </c>
      <c r="E23" s="15" t="s">
        <v>358</v>
      </c>
      <c r="F23" s="19">
        <f t="shared" si="0"/>
        <v>2</v>
      </c>
      <c r="G23" s="20"/>
      <c r="H23" s="21"/>
      <c r="I23" s="22">
        <f t="shared" si="1"/>
        <v>0</v>
      </c>
      <c r="J23" s="22">
        <f t="shared" si="277"/>
        <v>0</v>
      </c>
      <c r="K23" s="22"/>
      <c r="L23" s="22">
        <f t="shared" si="3"/>
        <v>0</v>
      </c>
      <c r="M23" s="22">
        <f t="shared" si="278"/>
        <v>0</v>
      </c>
      <c r="N23" s="22"/>
      <c r="O23" s="22">
        <f t="shared" si="5"/>
        <v>0</v>
      </c>
      <c r="P23" s="22">
        <f t="shared" si="279"/>
        <v>0</v>
      </c>
      <c r="Q23" s="22"/>
      <c r="R23" s="22">
        <f t="shared" si="7"/>
        <v>0</v>
      </c>
      <c r="S23" s="22">
        <f t="shared" si="280"/>
        <v>0</v>
      </c>
      <c r="T23" s="22"/>
      <c r="U23" s="22">
        <f t="shared" si="9"/>
        <v>0</v>
      </c>
      <c r="V23" s="22">
        <f t="shared" si="281"/>
        <v>0</v>
      </c>
      <c r="W23" s="22"/>
      <c r="X23" s="22">
        <f t="shared" si="11"/>
        <v>0</v>
      </c>
      <c r="Y23" s="22">
        <f t="shared" si="282"/>
        <v>0</v>
      </c>
      <c r="Z23" s="22"/>
      <c r="AA23" s="22">
        <f t="shared" si="13"/>
        <v>0</v>
      </c>
      <c r="AB23" s="22">
        <f t="shared" si="283"/>
        <v>0</v>
      </c>
      <c r="AC23" s="22"/>
      <c r="AD23" s="22">
        <f t="shared" si="15"/>
        <v>0</v>
      </c>
      <c r="AE23" s="22">
        <f t="shared" si="284"/>
        <v>0</v>
      </c>
      <c r="AF23" s="22"/>
      <c r="AG23" s="22">
        <f t="shared" si="17"/>
        <v>0</v>
      </c>
      <c r="AH23" s="22">
        <f t="shared" si="285"/>
        <v>0</v>
      </c>
      <c r="AI23" s="22"/>
      <c r="AJ23" s="22">
        <f t="shared" si="19"/>
        <v>0</v>
      </c>
      <c r="AK23" s="22">
        <f t="shared" si="286"/>
        <v>0</v>
      </c>
      <c r="AL23" s="22">
        <v>2</v>
      </c>
      <c r="AM23" s="22">
        <f t="shared" si="21"/>
        <v>2</v>
      </c>
      <c r="AN23" s="22">
        <f t="shared" si="287"/>
        <v>0</v>
      </c>
      <c r="AO23" s="22"/>
      <c r="AP23" s="22">
        <f t="shared" si="23"/>
        <v>0</v>
      </c>
      <c r="AQ23" s="22">
        <f t="shared" si="288"/>
        <v>0</v>
      </c>
      <c r="AR23" s="22"/>
      <c r="AS23" s="22">
        <f t="shared" si="25"/>
        <v>0</v>
      </c>
      <c r="AT23" s="22">
        <f t="shared" si="289"/>
        <v>0</v>
      </c>
      <c r="AU23" s="22"/>
      <c r="AV23" s="22">
        <f t="shared" si="27"/>
        <v>0</v>
      </c>
      <c r="AW23" s="22">
        <f t="shared" si="290"/>
        <v>0</v>
      </c>
      <c r="AX23" s="22"/>
      <c r="AY23" s="22">
        <f t="shared" si="29"/>
        <v>0</v>
      </c>
      <c r="AZ23" s="22">
        <f t="shared" si="291"/>
        <v>0</v>
      </c>
      <c r="BA23" s="22"/>
      <c r="BB23" s="22">
        <f t="shared" si="31"/>
        <v>0</v>
      </c>
      <c r="BC23" s="22">
        <f t="shared" si="292"/>
        <v>0</v>
      </c>
      <c r="BD23" s="22"/>
      <c r="BE23" s="22">
        <f t="shared" si="33"/>
        <v>0</v>
      </c>
      <c r="BF23" s="22">
        <f t="shared" si="293"/>
        <v>0</v>
      </c>
      <c r="BG23" s="22"/>
      <c r="BH23" s="22">
        <f t="shared" si="35"/>
        <v>0</v>
      </c>
      <c r="BI23" s="22">
        <f t="shared" si="294"/>
        <v>0</v>
      </c>
      <c r="BJ23" s="22"/>
      <c r="BK23" s="22">
        <f t="shared" si="37"/>
        <v>0</v>
      </c>
      <c r="BL23" s="22">
        <f t="shared" si="295"/>
        <v>0</v>
      </c>
      <c r="BM23" s="22"/>
      <c r="BN23" s="22">
        <f t="shared" si="39"/>
        <v>0</v>
      </c>
      <c r="BO23" s="22">
        <f t="shared" si="296"/>
        <v>0</v>
      </c>
      <c r="BP23" s="22"/>
      <c r="BQ23" s="22">
        <f t="shared" si="41"/>
        <v>0</v>
      </c>
      <c r="BR23" s="22">
        <f t="shared" si="297"/>
        <v>0</v>
      </c>
      <c r="BS23" s="22"/>
      <c r="BT23" s="22">
        <f t="shared" si="43"/>
        <v>0</v>
      </c>
      <c r="BU23" s="22">
        <f t="shared" si="298"/>
        <v>0</v>
      </c>
      <c r="BV23" s="22"/>
      <c r="BW23" s="22">
        <f t="shared" si="45"/>
        <v>0</v>
      </c>
      <c r="BX23" s="22">
        <f t="shared" si="299"/>
        <v>0</v>
      </c>
      <c r="BY23" s="22"/>
      <c r="BZ23" s="22">
        <f t="shared" si="47"/>
        <v>0</v>
      </c>
      <c r="CA23" s="22">
        <f t="shared" si="300"/>
        <v>0</v>
      </c>
      <c r="CB23" s="22"/>
      <c r="CC23" s="22">
        <f t="shared" si="49"/>
        <v>0</v>
      </c>
      <c r="CD23" s="22">
        <f t="shared" si="301"/>
        <v>0</v>
      </c>
      <c r="CE23" s="22"/>
      <c r="CF23" s="22">
        <f t="shared" si="51"/>
        <v>0</v>
      </c>
      <c r="CG23" s="22">
        <f t="shared" si="302"/>
        <v>0</v>
      </c>
      <c r="CH23" s="22"/>
      <c r="CI23" s="22">
        <f t="shared" si="53"/>
        <v>0</v>
      </c>
      <c r="CJ23" s="22">
        <f t="shared" si="303"/>
        <v>0</v>
      </c>
      <c r="CK23" s="22"/>
      <c r="CL23" s="22">
        <f t="shared" si="55"/>
        <v>0</v>
      </c>
      <c r="CM23" s="22">
        <f t="shared" si="304"/>
        <v>0</v>
      </c>
      <c r="CN23" s="22"/>
      <c r="CO23" s="22">
        <f t="shared" si="57"/>
        <v>0</v>
      </c>
      <c r="CP23" s="22">
        <f t="shared" si="305"/>
        <v>0</v>
      </c>
      <c r="CQ23" s="22"/>
      <c r="CR23" s="22">
        <f t="shared" si="59"/>
        <v>0</v>
      </c>
      <c r="CS23" s="22">
        <f t="shared" si="306"/>
        <v>0</v>
      </c>
      <c r="CT23" s="22"/>
      <c r="CU23" s="22">
        <f t="shared" si="61"/>
        <v>0</v>
      </c>
      <c r="CV23" s="22">
        <f t="shared" si="307"/>
        <v>0</v>
      </c>
      <c r="CW23" s="22"/>
      <c r="CX23" s="22">
        <f t="shared" si="63"/>
        <v>0</v>
      </c>
      <c r="CY23" s="22">
        <f t="shared" si="308"/>
        <v>0</v>
      </c>
      <c r="CZ23" s="22"/>
      <c r="DA23" s="22">
        <f t="shared" si="65"/>
        <v>0</v>
      </c>
      <c r="DB23" s="22">
        <f t="shared" si="309"/>
        <v>0</v>
      </c>
      <c r="DC23" s="22"/>
      <c r="DD23" s="22">
        <f t="shared" si="67"/>
        <v>0</v>
      </c>
      <c r="DE23" s="22">
        <f t="shared" si="310"/>
        <v>0</v>
      </c>
      <c r="DF23" s="22"/>
      <c r="DG23" s="22">
        <f t="shared" si="69"/>
        <v>0</v>
      </c>
      <c r="DH23" s="22">
        <f t="shared" si="311"/>
        <v>0</v>
      </c>
      <c r="DI23" s="22"/>
      <c r="DJ23" s="22">
        <f t="shared" si="71"/>
        <v>0</v>
      </c>
      <c r="DK23" s="22">
        <f t="shared" si="312"/>
        <v>0</v>
      </c>
      <c r="DL23" s="22"/>
      <c r="DM23" s="22">
        <f t="shared" si="73"/>
        <v>0</v>
      </c>
      <c r="DN23" s="22">
        <f t="shared" si="313"/>
        <v>0</v>
      </c>
      <c r="DO23" s="22"/>
      <c r="DP23" s="22">
        <f t="shared" si="75"/>
        <v>0</v>
      </c>
      <c r="DQ23" s="22">
        <f t="shared" si="314"/>
        <v>0</v>
      </c>
      <c r="DR23" s="22"/>
      <c r="DS23" s="22">
        <f t="shared" si="77"/>
        <v>0</v>
      </c>
      <c r="DT23" s="22">
        <f t="shared" si="315"/>
        <v>0</v>
      </c>
      <c r="DU23" s="22"/>
      <c r="DV23" s="22">
        <f t="shared" si="79"/>
        <v>0</v>
      </c>
      <c r="DW23" s="22">
        <f t="shared" si="316"/>
        <v>0</v>
      </c>
      <c r="DX23" s="22"/>
      <c r="DY23" s="22">
        <f t="shared" si="81"/>
        <v>0</v>
      </c>
      <c r="DZ23" s="22">
        <f t="shared" si="317"/>
        <v>0</v>
      </c>
      <c r="EA23" s="22"/>
      <c r="EB23" s="22">
        <f t="shared" si="83"/>
        <v>0</v>
      </c>
      <c r="EC23" s="22">
        <f t="shared" si="318"/>
        <v>0</v>
      </c>
      <c r="ED23" s="22"/>
      <c r="EE23" s="22">
        <f t="shared" si="85"/>
        <v>0</v>
      </c>
      <c r="EF23" s="22">
        <f t="shared" si="319"/>
        <v>0</v>
      </c>
      <c r="EG23" s="22"/>
      <c r="EH23" s="22">
        <f t="shared" si="87"/>
        <v>0</v>
      </c>
      <c r="EI23" s="22">
        <f t="shared" si="320"/>
        <v>0</v>
      </c>
      <c r="EJ23" s="22"/>
      <c r="EK23" s="22">
        <f t="shared" si="89"/>
        <v>0</v>
      </c>
      <c r="EL23" s="22">
        <f t="shared" si="321"/>
        <v>0</v>
      </c>
      <c r="EM23" s="22"/>
      <c r="EN23" s="22">
        <f t="shared" si="91"/>
        <v>0</v>
      </c>
      <c r="EO23" s="22">
        <f t="shared" si="322"/>
        <v>0</v>
      </c>
    </row>
    <row r="24" spans="1:145">
      <c r="A24" s="15">
        <v>53</v>
      </c>
      <c r="B24" s="15" t="s">
        <v>422</v>
      </c>
      <c r="C24" s="16" t="s">
        <v>423</v>
      </c>
      <c r="D24" s="15" t="s">
        <v>424</v>
      </c>
      <c r="E24" s="16" t="s">
        <v>425</v>
      </c>
      <c r="F24" s="19">
        <f t="shared" si="0"/>
        <v>1</v>
      </c>
      <c r="G24" s="20"/>
      <c r="H24" s="21"/>
      <c r="I24" s="22">
        <f t="shared" si="1"/>
        <v>0</v>
      </c>
      <c r="J24" s="22">
        <f t="shared" si="277"/>
        <v>0</v>
      </c>
      <c r="K24" s="22"/>
      <c r="L24" s="22">
        <f t="shared" si="3"/>
        <v>0</v>
      </c>
      <c r="M24" s="22">
        <f t="shared" si="278"/>
        <v>0</v>
      </c>
      <c r="N24" s="22"/>
      <c r="O24" s="22">
        <f t="shared" si="5"/>
        <v>0</v>
      </c>
      <c r="P24" s="22">
        <f t="shared" si="279"/>
        <v>0</v>
      </c>
      <c r="Q24" s="22"/>
      <c r="R24" s="22">
        <f t="shared" si="7"/>
        <v>0</v>
      </c>
      <c r="S24" s="22">
        <f t="shared" si="280"/>
        <v>0</v>
      </c>
      <c r="T24" s="22"/>
      <c r="U24" s="22">
        <f t="shared" si="9"/>
        <v>0</v>
      </c>
      <c r="V24" s="22">
        <f t="shared" si="281"/>
        <v>0</v>
      </c>
      <c r="W24" s="22"/>
      <c r="X24" s="22">
        <f t="shared" si="11"/>
        <v>0</v>
      </c>
      <c r="Y24" s="22">
        <f t="shared" si="282"/>
        <v>0</v>
      </c>
      <c r="Z24" s="22"/>
      <c r="AA24" s="22">
        <f t="shared" si="13"/>
        <v>0</v>
      </c>
      <c r="AB24" s="22">
        <f t="shared" si="283"/>
        <v>0</v>
      </c>
      <c r="AC24" s="22"/>
      <c r="AD24" s="22">
        <f t="shared" si="15"/>
        <v>0</v>
      </c>
      <c r="AE24" s="22">
        <f t="shared" si="284"/>
        <v>0</v>
      </c>
      <c r="AF24" s="22"/>
      <c r="AG24" s="22">
        <f t="shared" si="17"/>
        <v>0</v>
      </c>
      <c r="AH24" s="22">
        <f t="shared" si="285"/>
        <v>0</v>
      </c>
      <c r="AI24" s="22"/>
      <c r="AJ24" s="22">
        <f t="shared" si="19"/>
        <v>0</v>
      </c>
      <c r="AK24" s="22">
        <f t="shared" si="286"/>
        <v>0</v>
      </c>
      <c r="AL24" s="22">
        <v>1</v>
      </c>
      <c r="AM24" s="22">
        <f t="shared" si="21"/>
        <v>1</v>
      </c>
      <c r="AN24" s="22">
        <f t="shared" si="287"/>
        <v>0</v>
      </c>
      <c r="AO24" s="22"/>
      <c r="AP24" s="22">
        <f t="shared" si="23"/>
        <v>0</v>
      </c>
      <c r="AQ24" s="22">
        <f t="shared" si="288"/>
        <v>0</v>
      </c>
      <c r="AR24" s="22"/>
      <c r="AS24" s="22">
        <f t="shared" si="25"/>
        <v>0</v>
      </c>
      <c r="AT24" s="22">
        <f t="shared" si="289"/>
        <v>0</v>
      </c>
      <c r="AU24" s="22"/>
      <c r="AV24" s="22">
        <f t="shared" si="27"/>
        <v>0</v>
      </c>
      <c r="AW24" s="22">
        <f t="shared" si="290"/>
        <v>0</v>
      </c>
      <c r="AX24" s="22"/>
      <c r="AY24" s="22">
        <f t="shared" si="29"/>
        <v>0</v>
      </c>
      <c r="AZ24" s="22">
        <f t="shared" si="291"/>
        <v>0</v>
      </c>
      <c r="BA24" s="22"/>
      <c r="BB24" s="22">
        <f t="shared" si="31"/>
        <v>0</v>
      </c>
      <c r="BC24" s="22">
        <f t="shared" si="292"/>
        <v>0</v>
      </c>
      <c r="BD24" s="22"/>
      <c r="BE24" s="22">
        <f t="shared" si="33"/>
        <v>0</v>
      </c>
      <c r="BF24" s="22">
        <f t="shared" si="293"/>
        <v>0</v>
      </c>
      <c r="BG24" s="22"/>
      <c r="BH24" s="22">
        <f t="shared" si="35"/>
        <v>0</v>
      </c>
      <c r="BI24" s="22">
        <f t="shared" si="294"/>
        <v>0</v>
      </c>
      <c r="BJ24" s="22"/>
      <c r="BK24" s="22">
        <f t="shared" si="37"/>
        <v>0</v>
      </c>
      <c r="BL24" s="22">
        <f t="shared" si="295"/>
        <v>0</v>
      </c>
      <c r="BM24" s="22"/>
      <c r="BN24" s="22">
        <f t="shared" si="39"/>
        <v>0</v>
      </c>
      <c r="BO24" s="22">
        <f t="shared" si="296"/>
        <v>0</v>
      </c>
      <c r="BP24" s="22"/>
      <c r="BQ24" s="22">
        <f t="shared" si="41"/>
        <v>0</v>
      </c>
      <c r="BR24" s="22">
        <f t="shared" si="297"/>
        <v>0</v>
      </c>
      <c r="BS24" s="22"/>
      <c r="BT24" s="22">
        <f t="shared" si="43"/>
        <v>0</v>
      </c>
      <c r="BU24" s="22">
        <f t="shared" si="298"/>
        <v>0</v>
      </c>
      <c r="BV24" s="22"/>
      <c r="BW24" s="22">
        <f t="shared" si="45"/>
        <v>0</v>
      </c>
      <c r="BX24" s="22">
        <f t="shared" si="299"/>
        <v>0</v>
      </c>
      <c r="BY24" s="22"/>
      <c r="BZ24" s="22">
        <f t="shared" si="47"/>
        <v>0</v>
      </c>
      <c r="CA24" s="22">
        <f t="shared" si="300"/>
        <v>0</v>
      </c>
      <c r="CB24" s="22"/>
      <c r="CC24" s="22">
        <f t="shared" si="49"/>
        <v>0</v>
      </c>
      <c r="CD24" s="22">
        <f t="shared" si="301"/>
        <v>0</v>
      </c>
      <c r="CE24" s="22"/>
      <c r="CF24" s="22">
        <f t="shared" si="51"/>
        <v>0</v>
      </c>
      <c r="CG24" s="22">
        <f t="shared" si="302"/>
        <v>0</v>
      </c>
      <c r="CH24" s="22"/>
      <c r="CI24" s="22">
        <f t="shared" si="53"/>
        <v>0</v>
      </c>
      <c r="CJ24" s="22">
        <f t="shared" si="303"/>
        <v>0</v>
      </c>
      <c r="CK24" s="22"/>
      <c r="CL24" s="22">
        <f t="shared" si="55"/>
        <v>0</v>
      </c>
      <c r="CM24" s="22">
        <f t="shared" si="304"/>
        <v>0</v>
      </c>
      <c r="CN24" s="22"/>
      <c r="CO24" s="22">
        <f t="shared" si="57"/>
        <v>0</v>
      </c>
      <c r="CP24" s="22">
        <f t="shared" si="305"/>
        <v>0</v>
      </c>
      <c r="CQ24" s="22"/>
      <c r="CR24" s="22">
        <f t="shared" si="59"/>
        <v>0</v>
      </c>
      <c r="CS24" s="22">
        <f t="shared" si="306"/>
        <v>0</v>
      </c>
      <c r="CT24" s="22"/>
      <c r="CU24" s="22">
        <f t="shared" si="61"/>
        <v>0</v>
      </c>
      <c r="CV24" s="22">
        <f t="shared" si="307"/>
        <v>0</v>
      </c>
      <c r="CW24" s="22"/>
      <c r="CX24" s="22">
        <f t="shared" si="63"/>
        <v>0</v>
      </c>
      <c r="CY24" s="22">
        <f t="shared" si="308"/>
        <v>0</v>
      </c>
      <c r="CZ24" s="22"/>
      <c r="DA24" s="22">
        <f t="shared" si="65"/>
        <v>0</v>
      </c>
      <c r="DB24" s="22">
        <f t="shared" si="309"/>
        <v>0</v>
      </c>
      <c r="DC24" s="22"/>
      <c r="DD24" s="22">
        <f t="shared" si="67"/>
        <v>0</v>
      </c>
      <c r="DE24" s="22">
        <f t="shared" si="310"/>
        <v>0</v>
      </c>
      <c r="DF24" s="22"/>
      <c r="DG24" s="22">
        <f t="shared" si="69"/>
        <v>0</v>
      </c>
      <c r="DH24" s="22">
        <f t="shared" si="311"/>
        <v>0</v>
      </c>
      <c r="DI24" s="22"/>
      <c r="DJ24" s="22">
        <f t="shared" si="71"/>
        <v>0</v>
      </c>
      <c r="DK24" s="22">
        <f t="shared" si="312"/>
        <v>0</v>
      </c>
      <c r="DL24" s="22"/>
      <c r="DM24" s="22">
        <f t="shared" si="73"/>
        <v>0</v>
      </c>
      <c r="DN24" s="22">
        <f t="shared" si="313"/>
        <v>0</v>
      </c>
      <c r="DO24" s="22"/>
      <c r="DP24" s="22">
        <f t="shared" si="75"/>
        <v>0</v>
      </c>
      <c r="DQ24" s="22">
        <f t="shared" si="314"/>
        <v>0</v>
      </c>
      <c r="DR24" s="22"/>
      <c r="DS24" s="22">
        <f t="shared" si="77"/>
        <v>0</v>
      </c>
      <c r="DT24" s="22">
        <f t="shared" si="315"/>
        <v>0</v>
      </c>
      <c r="DU24" s="22"/>
      <c r="DV24" s="22">
        <f t="shared" si="79"/>
        <v>0</v>
      </c>
      <c r="DW24" s="22">
        <f t="shared" si="316"/>
        <v>0</v>
      </c>
      <c r="DX24" s="22"/>
      <c r="DY24" s="22">
        <f t="shared" si="81"/>
        <v>0</v>
      </c>
      <c r="DZ24" s="22">
        <f t="shared" si="317"/>
        <v>0</v>
      </c>
      <c r="EA24" s="22"/>
      <c r="EB24" s="22">
        <f t="shared" si="83"/>
        <v>0</v>
      </c>
      <c r="EC24" s="22">
        <f t="shared" si="318"/>
        <v>0</v>
      </c>
      <c r="ED24" s="22"/>
      <c r="EE24" s="22">
        <f t="shared" si="85"/>
        <v>0</v>
      </c>
      <c r="EF24" s="22">
        <f t="shared" si="319"/>
        <v>0</v>
      </c>
      <c r="EG24" s="22"/>
      <c r="EH24" s="22">
        <f t="shared" si="87"/>
        <v>0</v>
      </c>
      <c r="EI24" s="22">
        <f t="shared" si="320"/>
        <v>0</v>
      </c>
      <c r="EJ24" s="22"/>
      <c r="EK24" s="22">
        <f t="shared" si="89"/>
        <v>0</v>
      </c>
      <c r="EL24" s="22">
        <f t="shared" si="321"/>
        <v>0</v>
      </c>
      <c r="EM24" s="22"/>
      <c r="EN24" s="22">
        <f t="shared" si="91"/>
        <v>0</v>
      </c>
      <c r="EO24" s="22">
        <f t="shared" si="322"/>
        <v>0</v>
      </c>
    </row>
    <row r="25" spans="1:145">
      <c r="A25" s="15">
        <v>54</v>
      </c>
      <c r="B25" s="15" t="s">
        <v>426</v>
      </c>
      <c r="C25" s="16" t="s">
        <v>427</v>
      </c>
      <c r="D25" s="15" t="s">
        <v>428</v>
      </c>
      <c r="E25" s="15" t="s">
        <v>429</v>
      </c>
      <c r="F25" s="19">
        <f t="shared" si="0"/>
        <v>2</v>
      </c>
      <c r="G25" s="20"/>
      <c r="H25" s="21"/>
      <c r="I25" s="22">
        <f t="shared" si="1"/>
        <v>0</v>
      </c>
      <c r="J25" s="22">
        <f t="shared" si="277"/>
        <v>0</v>
      </c>
      <c r="K25" s="22"/>
      <c r="L25" s="22">
        <f t="shared" si="3"/>
        <v>0</v>
      </c>
      <c r="M25" s="22">
        <f t="shared" si="278"/>
        <v>0</v>
      </c>
      <c r="N25" s="22"/>
      <c r="O25" s="22">
        <f t="shared" si="5"/>
        <v>0</v>
      </c>
      <c r="P25" s="22">
        <f t="shared" si="279"/>
        <v>0</v>
      </c>
      <c r="Q25" s="22"/>
      <c r="R25" s="22">
        <f t="shared" si="7"/>
        <v>0</v>
      </c>
      <c r="S25" s="22">
        <f t="shared" si="280"/>
        <v>0</v>
      </c>
      <c r="T25" s="22"/>
      <c r="U25" s="22">
        <f t="shared" si="9"/>
        <v>0</v>
      </c>
      <c r="V25" s="22">
        <f t="shared" si="281"/>
        <v>0</v>
      </c>
      <c r="W25" s="22"/>
      <c r="X25" s="22">
        <f t="shared" si="11"/>
        <v>0</v>
      </c>
      <c r="Y25" s="22">
        <f t="shared" si="282"/>
        <v>0</v>
      </c>
      <c r="Z25" s="22"/>
      <c r="AA25" s="22">
        <f t="shared" si="13"/>
        <v>0</v>
      </c>
      <c r="AB25" s="22">
        <f t="shared" si="283"/>
        <v>0</v>
      </c>
      <c r="AC25" s="22"/>
      <c r="AD25" s="22">
        <f t="shared" si="15"/>
        <v>0</v>
      </c>
      <c r="AE25" s="22">
        <f t="shared" si="284"/>
        <v>0</v>
      </c>
      <c r="AF25" s="22"/>
      <c r="AG25" s="22">
        <f t="shared" si="17"/>
        <v>0</v>
      </c>
      <c r="AH25" s="22">
        <f t="shared" si="285"/>
        <v>0</v>
      </c>
      <c r="AI25" s="22"/>
      <c r="AJ25" s="22">
        <f t="shared" si="19"/>
        <v>0</v>
      </c>
      <c r="AK25" s="22">
        <f t="shared" si="286"/>
        <v>0</v>
      </c>
      <c r="AL25" s="22">
        <v>2</v>
      </c>
      <c r="AM25" s="22">
        <f t="shared" si="21"/>
        <v>2</v>
      </c>
      <c r="AN25" s="22">
        <f t="shared" si="287"/>
        <v>0</v>
      </c>
      <c r="AO25" s="22"/>
      <c r="AP25" s="22">
        <f t="shared" si="23"/>
        <v>0</v>
      </c>
      <c r="AQ25" s="22">
        <f t="shared" si="288"/>
        <v>0</v>
      </c>
      <c r="AR25" s="22"/>
      <c r="AS25" s="22">
        <f t="shared" si="25"/>
        <v>0</v>
      </c>
      <c r="AT25" s="22">
        <f t="shared" si="289"/>
        <v>0</v>
      </c>
      <c r="AU25" s="22"/>
      <c r="AV25" s="22">
        <f t="shared" si="27"/>
        <v>0</v>
      </c>
      <c r="AW25" s="22">
        <f t="shared" si="290"/>
        <v>0</v>
      </c>
      <c r="AX25" s="22">
        <v>2</v>
      </c>
      <c r="AY25" s="22">
        <f t="shared" si="29"/>
        <v>0</v>
      </c>
      <c r="AZ25" s="22">
        <f t="shared" si="291"/>
        <v>0</v>
      </c>
      <c r="BA25" s="22"/>
      <c r="BB25" s="22">
        <f t="shared" si="31"/>
        <v>0</v>
      </c>
      <c r="BC25" s="22">
        <f t="shared" si="292"/>
        <v>0</v>
      </c>
      <c r="BD25" s="22"/>
      <c r="BE25" s="22">
        <f t="shared" si="33"/>
        <v>0</v>
      </c>
      <c r="BF25" s="22">
        <f t="shared" si="293"/>
        <v>0</v>
      </c>
      <c r="BG25" s="22"/>
      <c r="BH25" s="22">
        <f t="shared" si="35"/>
        <v>0</v>
      </c>
      <c r="BI25" s="22">
        <f t="shared" si="294"/>
        <v>0</v>
      </c>
      <c r="BJ25" s="22"/>
      <c r="BK25" s="22">
        <f t="shared" si="37"/>
        <v>0</v>
      </c>
      <c r="BL25" s="22">
        <f t="shared" si="295"/>
        <v>0</v>
      </c>
      <c r="BM25" s="22"/>
      <c r="BN25" s="22">
        <f t="shared" si="39"/>
        <v>0</v>
      </c>
      <c r="BO25" s="22">
        <f t="shared" si="296"/>
        <v>0</v>
      </c>
      <c r="BP25" s="22"/>
      <c r="BQ25" s="22">
        <f t="shared" si="41"/>
        <v>0</v>
      </c>
      <c r="BR25" s="22">
        <f t="shared" si="297"/>
        <v>0</v>
      </c>
      <c r="BS25" s="22"/>
      <c r="BT25" s="22">
        <f t="shared" si="43"/>
        <v>0</v>
      </c>
      <c r="BU25" s="22">
        <f t="shared" si="298"/>
        <v>0</v>
      </c>
      <c r="BV25" s="22"/>
      <c r="BW25" s="22">
        <f t="shared" si="45"/>
        <v>0</v>
      </c>
      <c r="BX25" s="22">
        <f t="shared" si="299"/>
        <v>0</v>
      </c>
      <c r="BY25" s="22"/>
      <c r="BZ25" s="22">
        <f t="shared" si="47"/>
        <v>0</v>
      </c>
      <c r="CA25" s="22">
        <f t="shared" si="300"/>
        <v>0</v>
      </c>
      <c r="CB25" s="22"/>
      <c r="CC25" s="22">
        <f t="shared" si="49"/>
        <v>0</v>
      </c>
      <c r="CD25" s="22">
        <f t="shared" si="301"/>
        <v>0</v>
      </c>
      <c r="CE25" s="22"/>
      <c r="CF25" s="22">
        <f t="shared" si="51"/>
        <v>0</v>
      </c>
      <c r="CG25" s="22">
        <f t="shared" si="302"/>
        <v>0</v>
      </c>
      <c r="CH25" s="22"/>
      <c r="CI25" s="22">
        <f t="shared" si="53"/>
        <v>0</v>
      </c>
      <c r="CJ25" s="22">
        <f t="shared" si="303"/>
        <v>0</v>
      </c>
      <c r="CK25" s="22"/>
      <c r="CL25" s="22">
        <f t="shared" si="55"/>
        <v>0</v>
      </c>
      <c r="CM25" s="22">
        <f t="shared" si="304"/>
        <v>0</v>
      </c>
      <c r="CN25" s="22"/>
      <c r="CO25" s="22">
        <f t="shared" si="57"/>
        <v>0</v>
      </c>
      <c r="CP25" s="22">
        <f t="shared" si="305"/>
        <v>0</v>
      </c>
      <c r="CQ25" s="22"/>
      <c r="CR25" s="22">
        <f t="shared" si="59"/>
        <v>0</v>
      </c>
      <c r="CS25" s="22">
        <f t="shared" si="306"/>
        <v>0</v>
      </c>
      <c r="CT25" s="22"/>
      <c r="CU25" s="22">
        <f t="shared" si="61"/>
        <v>0</v>
      </c>
      <c r="CV25" s="22">
        <f t="shared" si="307"/>
        <v>0</v>
      </c>
      <c r="CW25" s="22"/>
      <c r="CX25" s="22">
        <f t="shared" si="63"/>
        <v>0</v>
      </c>
      <c r="CY25" s="22">
        <f t="shared" si="308"/>
        <v>0</v>
      </c>
      <c r="CZ25" s="22"/>
      <c r="DA25" s="22">
        <f t="shared" si="65"/>
        <v>0</v>
      </c>
      <c r="DB25" s="22">
        <f t="shared" si="309"/>
        <v>0</v>
      </c>
      <c r="DC25" s="22"/>
      <c r="DD25" s="22">
        <f t="shared" si="67"/>
        <v>0</v>
      </c>
      <c r="DE25" s="22">
        <f t="shared" si="310"/>
        <v>0</v>
      </c>
      <c r="DF25" s="22"/>
      <c r="DG25" s="22">
        <f t="shared" si="69"/>
        <v>0</v>
      </c>
      <c r="DH25" s="22">
        <f t="shared" si="311"/>
        <v>0</v>
      </c>
      <c r="DI25" s="22"/>
      <c r="DJ25" s="22">
        <f t="shared" si="71"/>
        <v>0</v>
      </c>
      <c r="DK25" s="22">
        <f t="shared" si="312"/>
        <v>0</v>
      </c>
      <c r="DL25" s="22"/>
      <c r="DM25" s="22">
        <f t="shared" si="73"/>
        <v>0</v>
      </c>
      <c r="DN25" s="22">
        <f t="shared" si="313"/>
        <v>0</v>
      </c>
      <c r="DO25" s="22"/>
      <c r="DP25" s="22">
        <f t="shared" si="75"/>
        <v>0</v>
      </c>
      <c r="DQ25" s="22">
        <f t="shared" si="314"/>
        <v>0</v>
      </c>
      <c r="DR25" s="22"/>
      <c r="DS25" s="22">
        <f t="shared" si="77"/>
        <v>0</v>
      </c>
      <c r="DT25" s="22">
        <f t="shared" si="315"/>
        <v>0</v>
      </c>
      <c r="DU25" s="22"/>
      <c r="DV25" s="22">
        <f t="shared" si="79"/>
        <v>0</v>
      </c>
      <c r="DW25" s="22">
        <f t="shared" si="316"/>
        <v>0</v>
      </c>
      <c r="DX25" s="22"/>
      <c r="DY25" s="22">
        <f t="shared" si="81"/>
        <v>0</v>
      </c>
      <c r="DZ25" s="22">
        <f t="shared" si="317"/>
        <v>0</v>
      </c>
      <c r="EA25" s="22">
        <v>2</v>
      </c>
      <c r="EB25" s="22">
        <f t="shared" si="83"/>
        <v>0</v>
      </c>
      <c r="EC25" s="22">
        <f t="shared" si="318"/>
        <v>0</v>
      </c>
      <c r="ED25" s="22"/>
      <c r="EE25" s="22">
        <f t="shared" si="85"/>
        <v>0</v>
      </c>
      <c r="EF25" s="22">
        <f t="shared" si="319"/>
        <v>0</v>
      </c>
      <c r="EG25" s="22"/>
      <c r="EH25" s="22">
        <f t="shared" si="87"/>
        <v>0</v>
      </c>
      <c r="EI25" s="22">
        <f t="shared" si="320"/>
        <v>0</v>
      </c>
      <c r="EJ25" s="22"/>
      <c r="EK25" s="22">
        <f t="shared" si="89"/>
        <v>0</v>
      </c>
      <c r="EL25" s="22">
        <f t="shared" si="321"/>
        <v>0</v>
      </c>
      <c r="EM25" s="22"/>
      <c r="EN25" s="22">
        <f t="shared" si="91"/>
        <v>0</v>
      </c>
      <c r="EO25" s="22">
        <f t="shared" si="322"/>
        <v>0</v>
      </c>
    </row>
    <row r="26" spans="1:145">
      <c r="A26" s="15">
        <v>55</v>
      </c>
      <c r="B26" s="15" t="s">
        <v>430</v>
      </c>
      <c r="C26" s="16" t="s">
        <v>423</v>
      </c>
      <c r="D26" s="15" t="s">
        <v>431</v>
      </c>
      <c r="E26" s="15"/>
      <c r="F26" s="19">
        <f t="shared" si="0"/>
        <v>1</v>
      </c>
      <c r="G26" s="20"/>
      <c r="H26" s="21"/>
      <c r="I26" s="22">
        <f t="shared" si="1"/>
        <v>0</v>
      </c>
      <c r="J26" s="22">
        <f t="shared" si="277"/>
        <v>0</v>
      </c>
      <c r="K26" s="22"/>
      <c r="L26" s="22">
        <f t="shared" si="3"/>
        <v>0</v>
      </c>
      <c r="M26" s="22">
        <f t="shared" si="278"/>
        <v>0</v>
      </c>
      <c r="N26" s="22"/>
      <c r="O26" s="22">
        <f t="shared" si="5"/>
        <v>0</v>
      </c>
      <c r="P26" s="22">
        <f t="shared" si="279"/>
        <v>0</v>
      </c>
      <c r="Q26" s="22"/>
      <c r="R26" s="22">
        <f t="shared" si="7"/>
        <v>0</v>
      </c>
      <c r="S26" s="22">
        <f t="shared" si="280"/>
        <v>0</v>
      </c>
      <c r="T26" s="22"/>
      <c r="U26" s="22">
        <f t="shared" si="9"/>
        <v>0</v>
      </c>
      <c r="V26" s="22">
        <f t="shared" si="281"/>
        <v>0</v>
      </c>
      <c r="W26" s="22"/>
      <c r="X26" s="22">
        <f t="shared" si="11"/>
        <v>0</v>
      </c>
      <c r="Y26" s="22">
        <f t="shared" si="282"/>
        <v>0</v>
      </c>
      <c r="Z26" s="22"/>
      <c r="AA26" s="22">
        <f t="shared" si="13"/>
        <v>0</v>
      </c>
      <c r="AB26" s="22">
        <f t="shared" si="283"/>
        <v>0</v>
      </c>
      <c r="AC26" s="22"/>
      <c r="AD26" s="22">
        <f t="shared" si="15"/>
        <v>0</v>
      </c>
      <c r="AE26" s="22">
        <f t="shared" si="284"/>
        <v>0</v>
      </c>
      <c r="AF26" s="22"/>
      <c r="AG26" s="22">
        <f t="shared" si="17"/>
        <v>0</v>
      </c>
      <c r="AH26" s="22">
        <f t="shared" si="285"/>
        <v>0</v>
      </c>
      <c r="AI26" s="22"/>
      <c r="AJ26" s="22">
        <f t="shared" si="19"/>
        <v>0</v>
      </c>
      <c r="AK26" s="22">
        <f t="shared" si="286"/>
        <v>0</v>
      </c>
      <c r="AL26" s="22">
        <v>1</v>
      </c>
      <c r="AM26" s="22">
        <f t="shared" si="21"/>
        <v>1</v>
      </c>
      <c r="AN26" s="22">
        <f t="shared" si="287"/>
        <v>0</v>
      </c>
      <c r="AO26" s="22"/>
      <c r="AP26" s="22">
        <f t="shared" si="23"/>
        <v>0</v>
      </c>
      <c r="AQ26" s="22">
        <f t="shared" si="288"/>
        <v>0</v>
      </c>
      <c r="AR26" s="22"/>
      <c r="AS26" s="22">
        <f t="shared" si="25"/>
        <v>0</v>
      </c>
      <c r="AT26" s="22">
        <f t="shared" si="289"/>
        <v>0</v>
      </c>
      <c r="AU26" s="22"/>
      <c r="AV26" s="22">
        <f t="shared" si="27"/>
        <v>0</v>
      </c>
      <c r="AW26" s="22">
        <f t="shared" si="290"/>
        <v>0</v>
      </c>
      <c r="AX26" s="22"/>
      <c r="AY26" s="22">
        <f t="shared" si="29"/>
        <v>0</v>
      </c>
      <c r="AZ26" s="22">
        <f t="shared" si="291"/>
        <v>0</v>
      </c>
      <c r="BA26" s="22"/>
      <c r="BB26" s="22">
        <f t="shared" si="31"/>
        <v>0</v>
      </c>
      <c r="BC26" s="22">
        <f t="shared" si="292"/>
        <v>0</v>
      </c>
      <c r="BD26" s="22"/>
      <c r="BE26" s="22">
        <f t="shared" si="33"/>
        <v>0</v>
      </c>
      <c r="BF26" s="22">
        <f t="shared" si="293"/>
        <v>0</v>
      </c>
      <c r="BG26" s="22"/>
      <c r="BH26" s="22">
        <f t="shared" si="35"/>
        <v>0</v>
      </c>
      <c r="BI26" s="22">
        <f t="shared" si="294"/>
        <v>0</v>
      </c>
      <c r="BJ26" s="22"/>
      <c r="BK26" s="22">
        <f t="shared" si="37"/>
        <v>0</v>
      </c>
      <c r="BL26" s="22">
        <f t="shared" si="295"/>
        <v>0</v>
      </c>
      <c r="BM26" s="22"/>
      <c r="BN26" s="22">
        <f t="shared" si="39"/>
        <v>0</v>
      </c>
      <c r="BO26" s="22">
        <f t="shared" si="296"/>
        <v>0</v>
      </c>
      <c r="BP26" s="22"/>
      <c r="BQ26" s="22">
        <f t="shared" si="41"/>
        <v>0</v>
      </c>
      <c r="BR26" s="22">
        <f t="shared" si="297"/>
        <v>0</v>
      </c>
      <c r="BS26" s="22"/>
      <c r="BT26" s="22">
        <f t="shared" si="43"/>
        <v>0</v>
      </c>
      <c r="BU26" s="22">
        <f t="shared" si="298"/>
        <v>0</v>
      </c>
      <c r="BV26" s="22"/>
      <c r="BW26" s="22">
        <f t="shared" si="45"/>
        <v>0</v>
      </c>
      <c r="BX26" s="22">
        <f t="shared" si="299"/>
        <v>0</v>
      </c>
      <c r="BY26" s="22"/>
      <c r="BZ26" s="22">
        <f t="shared" si="47"/>
        <v>0</v>
      </c>
      <c r="CA26" s="22">
        <f t="shared" si="300"/>
        <v>0</v>
      </c>
      <c r="CB26" s="22"/>
      <c r="CC26" s="22">
        <f t="shared" si="49"/>
        <v>0</v>
      </c>
      <c r="CD26" s="22">
        <f t="shared" si="301"/>
        <v>0</v>
      </c>
      <c r="CE26" s="22"/>
      <c r="CF26" s="22">
        <f t="shared" si="51"/>
        <v>0</v>
      </c>
      <c r="CG26" s="22">
        <f t="shared" si="302"/>
        <v>0</v>
      </c>
      <c r="CH26" s="22"/>
      <c r="CI26" s="22">
        <f t="shared" si="53"/>
        <v>0</v>
      </c>
      <c r="CJ26" s="22">
        <f t="shared" si="303"/>
        <v>0</v>
      </c>
      <c r="CK26" s="22"/>
      <c r="CL26" s="22">
        <f t="shared" si="55"/>
        <v>0</v>
      </c>
      <c r="CM26" s="22">
        <f t="shared" si="304"/>
        <v>0</v>
      </c>
      <c r="CN26" s="22"/>
      <c r="CO26" s="22">
        <f t="shared" si="57"/>
        <v>0</v>
      </c>
      <c r="CP26" s="22">
        <f t="shared" si="305"/>
        <v>0</v>
      </c>
      <c r="CQ26" s="22"/>
      <c r="CR26" s="22">
        <f t="shared" si="59"/>
        <v>0</v>
      </c>
      <c r="CS26" s="22">
        <f t="shared" si="306"/>
        <v>0</v>
      </c>
      <c r="CT26" s="22"/>
      <c r="CU26" s="22">
        <f t="shared" si="61"/>
        <v>0</v>
      </c>
      <c r="CV26" s="22">
        <f t="shared" si="307"/>
        <v>0</v>
      </c>
      <c r="CW26" s="22"/>
      <c r="CX26" s="22">
        <f t="shared" si="63"/>
        <v>0</v>
      </c>
      <c r="CY26" s="22">
        <f t="shared" si="308"/>
        <v>0</v>
      </c>
      <c r="CZ26" s="22"/>
      <c r="DA26" s="22">
        <f t="shared" si="65"/>
        <v>0</v>
      </c>
      <c r="DB26" s="22">
        <f t="shared" si="309"/>
        <v>0</v>
      </c>
      <c r="DC26" s="22"/>
      <c r="DD26" s="22">
        <f t="shared" si="67"/>
        <v>0</v>
      </c>
      <c r="DE26" s="22">
        <f t="shared" si="310"/>
        <v>0</v>
      </c>
      <c r="DF26" s="22"/>
      <c r="DG26" s="22">
        <f t="shared" si="69"/>
        <v>0</v>
      </c>
      <c r="DH26" s="22">
        <f t="shared" si="311"/>
        <v>0</v>
      </c>
      <c r="DI26" s="22"/>
      <c r="DJ26" s="22">
        <f t="shared" si="71"/>
        <v>0</v>
      </c>
      <c r="DK26" s="22">
        <f t="shared" si="312"/>
        <v>0</v>
      </c>
      <c r="DL26" s="22"/>
      <c r="DM26" s="22">
        <f t="shared" si="73"/>
        <v>0</v>
      </c>
      <c r="DN26" s="22">
        <f t="shared" si="313"/>
        <v>0</v>
      </c>
      <c r="DO26" s="22"/>
      <c r="DP26" s="22">
        <f t="shared" si="75"/>
        <v>0</v>
      </c>
      <c r="DQ26" s="22">
        <f t="shared" si="314"/>
        <v>0</v>
      </c>
      <c r="DR26" s="22"/>
      <c r="DS26" s="22">
        <f t="shared" si="77"/>
        <v>0</v>
      </c>
      <c r="DT26" s="22">
        <f t="shared" si="315"/>
        <v>0</v>
      </c>
      <c r="DU26" s="22"/>
      <c r="DV26" s="22">
        <f t="shared" si="79"/>
        <v>0</v>
      </c>
      <c r="DW26" s="22">
        <f t="shared" si="316"/>
        <v>0</v>
      </c>
      <c r="DX26" s="22"/>
      <c r="DY26" s="22">
        <f t="shared" si="81"/>
        <v>0</v>
      </c>
      <c r="DZ26" s="22">
        <f t="shared" si="317"/>
        <v>0</v>
      </c>
      <c r="EA26" s="22"/>
      <c r="EB26" s="22">
        <f t="shared" si="83"/>
        <v>0</v>
      </c>
      <c r="EC26" s="22">
        <f t="shared" si="318"/>
        <v>0</v>
      </c>
      <c r="ED26" s="22"/>
      <c r="EE26" s="22">
        <f t="shared" si="85"/>
        <v>0</v>
      </c>
      <c r="EF26" s="22">
        <f t="shared" si="319"/>
        <v>0</v>
      </c>
      <c r="EG26" s="22"/>
      <c r="EH26" s="22">
        <f t="shared" si="87"/>
        <v>0</v>
      </c>
      <c r="EI26" s="22">
        <f t="shared" si="320"/>
        <v>0</v>
      </c>
      <c r="EJ26" s="22"/>
      <c r="EK26" s="22">
        <f t="shared" si="89"/>
        <v>0</v>
      </c>
      <c r="EL26" s="22">
        <f t="shared" si="321"/>
        <v>0</v>
      </c>
      <c r="EM26" s="22"/>
      <c r="EN26" s="22">
        <f t="shared" si="91"/>
        <v>0</v>
      </c>
      <c r="EO26" s="22">
        <f t="shared" si="322"/>
        <v>0</v>
      </c>
    </row>
    <row r="27" spans="1:145">
      <c r="A27" s="15">
        <v>56</v>
      </c>
      <c r="B27" s="15" t="s">
        <v>432</v>
      </c>
      <c r="C27" s="16" t="s">
        <v>433</v>
      </c>
      <c r="D27" s="15" t="s">
        <v>434</v>
      </c>
      <c r="E27" s="15"/>
      <c r="F27" s="19">
        <f t="shared" si="0"/>
        <v>1</v>
      </c>
      <c r="G27" s="20"/>
      <c r="H27" s="21"/>
      <c r="I27" s="22">
        <f t="shared" si="1"/>
        <v>0</v>
      </c>
      <c r="J27" s="22">
        <f>$G27*H27</f>
        <v>0</v>
      </c>
      <c r="K27" s="22"/>
      <c r="L27" s="22">
        <f t="shared" si="3"/>
        <v>0</v>
      </c>
      <c r="M27" s="22">
        <f>$G27*K27</f>
        <v>0</v>
      </c>
      <c r="N27" s="22"/>
      <c r="O27" s="22">
        <f t="shared" si="5"/>
        <v>0</v>
      </c>
      <c r="P27" s="22">
        <f>$G27*N27</f>
        <v>0</v>
      </c>
      <c r="Q27" s="22"/>
      <c r="R27" s="22">
        <f t="shared" si="7"/>
        <v>0</v>
      </c>
      <c r="S27" s="22">
        <f>$G27*Q27</f>
        <v>0</v>
      </c>
      <c r="T27" s="22"/>
      <c r="U27" s="22">
        <f t="shared" si="9"/>
        <v>0</v>
      </c>
      <c r="V27" s="22">
        <f>$G27*T27</f>
        <v>0</v>
      </c>
      <c r="W27" s="22"/>
      <c r="X27" s="22">
        <f t="shared" si="11"/>
        <v>0</v>
      </c>
      <c r="Y27" s="22">
        <f>$G27*W27</f>
        <v>0</v>
      </c>
      <c r="Z27" s="22"/>
      <c r="AA27" s="22">
        <f t="shared" si="13"/>
        <v>0</v>
      </c>
      <c r="AB27" s="22">
        <f>$G27*Z27</f>
        <v>0</v>
      </c>
      <c r="AC27" s="22"/>
      <c r="AD27" s="22">
        <f t="shared" si="15"/>
        <v>0</v>
      </c>
      <c r="AE27" s="22">
        <f>$G27*AC27</f>
        <v>0</v>
      </c>
      <c r="AF27" s="22"/>
      <c r="AG27" s="22">
        <f t="shared" si="17"/>
        <v>0</v>
      </c>
      <c r="AH27" s="22">
        <f>$G27*AF27</f>
        <v>0</v>
      </c>
      <c r="AI27" s="22"/>
      <c r="AJ27" s="22">
        <f t="shared" si="19"/>
        <v>0</v>
      </c>
      <c r="AK27" s="22">
        <f>$G27*AI27</f>
        <v>0</v>
      </c>
      <c r="AL27" s="22">
        <v>1</v>
      </c>
      <c r="AM27" s="22">
        <f t="shared" si="21"/>
        <v>1</v>
      </c>
      <c r="AN27" s="22">
        <f>$G27*AL27</f>
        <v>0</v>
      </c>
      <c r="AO27" s="22"/>
      <c r="AP27" s="22">
        <f t="shared" si="23"/>
        <v>0</v>
      </c>
      <c r="AQ27" s="22">
        <f>$G27*AO27</f>
        <v>0</v>
      </c>
      <c r="AR27" s="22"/>
      <c r="AS27" s="22">
        <f t="shared" si="25"/>
        <v>0</v>
      </c>
      <c r="AT27" s="22">
        <f>$G27*AR27</f>
        <v>0</v>
      </c>
      <c r="AU27" s="22"/>
      <c r="AV27" s="22">
        <f t="shared" si="27"/>
        <v>0</v>
      </c>
      <c r="AW27" s="22">
        <f>$G27*AU27</f>
        <v>0</v>
      </c>
      <c r="AX27" s="22"/>
      <c r="AY27" s="22">
        <f t="shared" si="29"/>
        <v>0</v>
      </c>
      <c r="AZ27" s="22">
        <f>$G27*AX27</f>
        <v>0</v>
      </c>
      <c r="BA27" s="22"/>
      <c r="BB27" s="22">
        <f t="shared" si="31"/>
        <v>0</v>
      </c>
      <c r="BC27" s="22">
        <f>$G27*BA27</f>
        <v>0</v>
      </c>
      <c r="BD27" s="22"/>
      <c r="BE27" s="22">
        <f t="shared" si="33"/>
        <v>0</v>
      </c>
      <c r="BF27" s="22">
        <f>$G27*BD27</f>
        <v>0</v>
      </c>
      <c r="BG27" s="22"/>
      <c r="BH27" s="22">
        <f t="shared" si="35"/>
        <v>0</v>
      </c>
      <c r="BI27" s="22">
        <f>$G27*BG27</f>
        <v>0</v>
      </c>
      <c r="BJ27" s="22"/>
      <c r="BK27" s="22">
        <f t="shared" si="37"/>
        <v>0</v>
      </c>
      <c r="BL27" s="22">
        <f>$G27*BJ27</f>
        <v>0</v>
      </c>
      <c r="BM27" s="22"/>
      <c r="BN27" s="22">
        <f t="shared" si="39"/>
        <v>0</v>
      </c>
      <c r="BO27" s="22">
        <f>$G27*BM27</f>
        <v>0</v>
      </c>
      <c r="BP27" s="22"/>
      <c r="BQ27" s="22">
        <f t="shared" si="41"/>
        <v>0</v>
      </c>
      <c r="BR27" s="22">
        <f>$G27*BP27</f>
        <v>0</v>
      </c>
      <c r="BS27" s="22"/>
      <c r="BT27" s="22">
        <f t="shared" si="43"/>
        <v>0</v>
      </c>
      <c r="BU27" s="22">
        <f>$G27*BS27</f>
        <v>0</v>
      </c>
      <c r="BV27" s="22"/>
      <c r="BW27" s="22">
        <f t="shared" si="45"/>
        <v>0</v>
      </c>
      <c r="BX27" s="22">
        <f>$G27*BV27</f>
        <v>0</v>
      </c>
      <c r="BY27" s="22"/>
      <c r="BZ27" s="22">
        <f t="shared" si="47"/>
        <v>0</v>
      </c>
      <c r="CA27" s="22">
        <f>$G27*BY27</f>
        <v>0</v>
      </c>
      <c r="CB27" s="22"/>
      <c r="CC27" s="22">
        <f t="shared" si="49"/>
        <v>0</v>
      </c>
      <c r="CD27" s="22">
        <f>$G27*CB27</f>
        <v>0</v>
      </c>
      <c r="CE27" s="22"/>
      <c r="CF27" s="22">
        <f t="shared" si="51"/>
        <v>0</v>
      </c>
      <c r="CG27" s="22">
        <f>$G27*CE27</f>
        <v>0</v>
      </c>
      <c r="CH27" s="22"/>
      <c r="CI27" s="22">
        <f t="shared" si="53"/>
        <v>0</v>
      </c>
      <c r="CJ27" s="22">
        <f>$G27*CH27</f>
        <v>0</v>
      </c>
      <c r="CK27" s="22"/>
      <c r="CL27" s="22">
        <f t="shared" si="55"/>
        <v>0</v>
      </c>
      <c r="CM27" s="22">
        <f>$G27*CK27</f>
        <v>0</v>
      </c>
      <c r="CN27" s="22"/>
      <c r="CO27" s="22">
        <f t="shared" si="57"/>
        <v>0</v>
      </c>
      <c r="CP27" s="22">
        <f>$G27*CN27</f>
        <v>0</v>
      </c>
      <c r="CQ27" s="22"/>
      <c r="CR27" s="22">
        <f t="shared" si="59"/>
        <v>0</v>
      </c>
      <c r="CS27" s="22">
        <f>$G27*CQ27</f>
        <v>0</v>
      </c>
      <c r="CT27" s="22"/>
      <c r="CU27" s="22">
        <f t="shared" si="61"/>
        <v>0</v>
      </c>
      <c r="CV27" s="22">
        <f>$G27*CT27</f>
        <v>0</v>
      </c>
      <c r="CW27" s="22"/>
      <c r="CX27" s="22">
        <f t="shared" si="63"/>
        <v>0</v>
      </c>
      <c r="CY27" s="22">
        <f>$G27*CW27</f>
        <v>0</v>
      </c>
      <c r="CZ27" s="22"/>
      <c r="DA27" s="22">
        <f t="shared" si="65"/>
        <v>0</v>
      </c>
      <c r="DB27" s="22">
        <f>$G27*CZ27</f>
        <v>0</v>
      </c>
      <c r="DC27" s="22"/>
      <c r="DD27" s="22">
        <f t="shared" si="67"/>
        <v>0</v>
      </c>
      <c r="DE27" s="22">
        <f>$G27*DC27</f>
        <v>0</v>
      </c>
      <c r="DF27" s="22"/>
      <c r="DG27" s="22">
        <f t="shared" si="69"/>
        <v>0</v>
      </c>
      <c r="DH27" s="22">
        <f>$G27*DF27</f>
        <v>0</v>
      </c>
      <c r="DI27" s="22"/>
      <c r="DJ27" s="22">
        <f t="shared" si="71"/>
        <v>0</v>
      </c>
      <c r="DK27" s="22">
        <f>$G27*DI27</f>
        <v>0</v>
      </c>
      <c r="DL27" s="22"/>
      <c r="DM27" s="22">
        <f t="shared" si="73"/>
        <v>0</v>
      </c>
      <c r="DN27" s="22">
        <f>$G27*DL27</f>
        <v>0</v>
      </c>
      <c r="DO27" s="22"/>
      <c r="DP27" s="22">
        <f t="shared" si="75"/>
        <v>0</v>
      </c>
      <c r="DQ27" s="22">
        <f>$G27*DO27</f>
        <v>0</v>
      </c>
      <c r="DR27" s="22"/>
      <c r="DS27" s="22">
        <f t="shared" si="77"/>
        <v>0</v>
      </c>
      <c r="DT27" s="22">
        <f>$G27*DR27</f>
        <v>0</v>
      </c>
      <c r="DU27" s="22"/>
      <c r="DV27" s="22">
        <f t="shared" si="79"/>
        <v>0</v>
      </c>
      <c r="DW27" s="22">
        <f>$G27*DU27</f>
        <v>0</v>
      </c>
      <c r="DX27" s="22"/>
      <c r="DY27" s="22">
        <f t="shared" si="81"/>
        <v>0</v>
      </c>
      <c r="DZ27" s="22">
        <f>$G27*DX27</f>
        <v>0</v>
      </c>
      <c r="EA27" s="22"/>
      <c r="EB27" s="22">
        <f t="shared" si="83"/>
        <v>0</v>
      </c>
      <c r="EC27" s="22">
        <f>$G27*EA27</f>
        <v>0</v>
      </c>
      <c r="ED27" s="22"/>
      <c r="EE27" s="22">
        <f t="shared" si="85"/>
        <v>0</v>
      </c>
      <c r="EF27" s="22">
        <f>$G27*ED27</f>
        <v>0</v>
      </c>
      <c r="EG27" s="22"/>
      <c r="EH27" s="22">
        <f t="shared" si="87"/>
        <v>0</v>
      </c>
      <c r="EI27" s="22">
        <f>$G27*EG27</f>
        <v>0</v>
      </c>
      <c r="EJ27" s="22"/>
      <c r="EK27" s="22">
        <f t="shared" si="89"/>
        <v>0</v>
      </c>
      <c r="EL27" s="22">
        <f>$G27*EJ27</f>
        <v>0</v>
      </c>
      <c r="EM27" s="22"/>
      <c r="EN27" s="22">
        <f t="shared" si="91"/>
        <v>0</v>
      </c>
      <c r="EO27" s="22">
        <f>$G27*EM27</f>
        <v>0</v>
      </c>
    </row>
    <row r="28" spans="1:145">
      <c r="A28" s="15">
        <v>57</v>
      </c>
      <c r="B28" s="15" t="s">
        <v>435</v>
      </c>
      <c r="C28" s="16" t="s">
        <v>391</v>
      </c>
      <c r="D28" s="15" t="s">
        <v>436</v>
      </c>
      <c r="E28" s="15"/>
      <c r="F28" s="19">
        <f t="shared" si="0"/>
        <v>9</v>
      </c>
      <c r="G28" s="20"/>
      <c r="H28" s="21"/>
      <c r="I28" s="22">
        <f t="shared" si="1"/>
        <v>0</v>
      </c>
      <c r="J28" s="22">
        <f t="shared" ref="J28:J34" si="323">$G28*H28</f>
        <v>0</v>
      </c>
      <c r="K28" s="22"/>
      <c r="L28" s="22">
        <f t="shared" si="3"/>
        <v>0</v>
      </c>
      <c r="M28" s="22">
        <f t="shared" ref="M28:M34" si="324">$G28*K28</f>
        <v>0</v>
      </c>
      <c r="N28" s="22"/>
      <c r="O28" s="22">
        <f t="shared" si="5"/>
        <v>0</v>
      </c>
      <c r="P28" s="22">
        <f t="shared" ref="P28:P34" si="325">$G28*N28</f>
        <v>0</v>
      </c>
      <c r="Q28" s="22"/>
      <c r="R28" s="22">
        <f t="shared" si="7"/>
        <v>0</v>
      </c>
      <c r="S28" s="22">
        <f t="shared" ref="S28:S34" si="326">$G28*Q28</f>
        <v>0</v>
      </c>
      <c r="T28" s="22"/>
      <c r="U28" s="22">
        <f t="shared" si="9"/>
        <v>0</v>
      </c>
      <c r="V28" s="22">
        <f t="shared" ref="V28:V34" si="327">$G28*T28</f>
        <v>0</v>
      </c>
      <c r="W28" s="22"/>
      <c r="X28" s="22">
        <f t="shared" si="11"/>
        <v>0</v>
      </c>
      <c r="Y28" s="22">
        <f t="shared" ref="Y28:Y34" si="328">$G28*W28</f>
        <v>0</v>
      </c>
      <c r="Z28" s="22"/>
      <c r="AA28" s="22">
        <f t="shared" si="13"/>
        <v>0</v>
      </c>
      <c r="AB28" s="22">
        <f t="shared" ref="AB28:AB34" si="329">$G28*Z28</f>
        <v>0</v>
      </c>
      <c r="AC28" s="22"/>
      <c r="AD28" s="22">
        <f t="shared" si="15"/>
        <v>0</v>
      </c>
      <c r="AE28" s="22">
        <f t="shared" ref="AE28:AE34" si="330">$G28*AC28</f>
        <v>0</v>
      </c>
      <c r="AF28" s="22"/>
      <c r="AG28" s="22">
        <f t="shared" si="17"/>
        <v>0</v>
      </c>
      <c r="AH28" s="22">
        <f t="shared" ref="AH28:AH34" si="331">$G28*AF28</f>
        <v>0</v>
      </c>
      <c r="AI28" s="22"/>
      <c r="AJ28" s="22">
        <f t="shared" si="19"/>
        <v>0</v>
      </c>
      <c r="AK28" s="22">
        <f t="shared" ref="AK28:AK34" si="332">$G28*AI28</f>
        <v>0</v>
      </c>
      <c r="AL28" s="22"/>
      <c r="AM28" s="22">
        <f t="shared" si="21"/>
        <v>0</v>
      </c>
      <c r="AN28" s="22">
        <f t="shared" ref="AN28:AN34" si="333">$G28*AL28</f>
        <v>0</v>
      </c>
      <c r="AO28" s="22">
        <v>1</v>
      </c>
      <c r="AP28" s="22">
        <f t="shared" si="23"/>
        <v>2</v>
      </c>
      <c r="AQ28" s="22">
        <f t="shared" ref="AQ28:AQ34" si="334">$G28*AO28</f>
        <v>0</v>
      </c>
      <c r="AR28" s="22">
        <v>1</v>
      </c>
      <c r="AS28" s="22">
        <f t="shared" si="25"/>
        <v>7</v>
      </c>
      <c r="AT28" s="22">
        <f t="shared" ref="AT28:AT34" si="335">$G28*AR28</f>
        <v>0</v>
      </c>
      <c r="AU28" s="22"/>
      <c r="AV28" s="22">
        <f t="shared" si="27"/>
        <v>0</v>
      </c>
      <c r="AW28" s="22">
        <f t="shared" ref="AW28:AW34" si="336">$G28*AU28</f>
        <v>0</v>
      </c>
      <c r="AX28" s="22"/>
      <c r="AY28" s="22">
        <f t="shared" si="29"/>
        <v>0</v>
      </c>
      <c r="AZ28" s="22">
        <f t="shared" ref="AZ28:AZ34" si="337">$G28*AX28</f>
        <v>0</v>
      </c>
      <c r="BA28" s="22"/>
      <c r="BB28" s="22">
        <f t="shared" si="31"/>
        <v>0</v>
      </c>
      <c r="BC28" s="22">
        <f t="shared" ref="BC28:BC34" si="338">$G28*BA28</f>
        <v>0</v>
      </c>
      <c r="BD28" s="22"/>
      <c r="BE28" s="22">
        <f t="shared" si="33"/>
        <v>0</v>
      </c>
      <c r="BF28" s="22">
        <f t="shared" ref="BF28:BF34" si="339">$G28*BD28</f>
        <v>0</v>
      </c>
      <c r="BG28" s="22"/>
      <c r="BH28" s="22">
        <f t="shared" si="35"/>
        <v>0</v>
      </c>
      <c r="BI28" s="22">
        <f t="shared" ref="BI28:BI34" si="340">$G28*BG28</f>
        <v>0</v>
      </c>
      <c r="BJ28" s="22"/>
      <c r="BK28" s="22">
        <f t="shared" si="37"/>
        <v>0</v>
      </c>
      <c r="BL28" s="22">
        <f t="shared" ref="BL28:BL34" si="341">$G28*BJ28</f>
        <v>0</v>
      </c>
      <c r="BM28" s="22"/>
      <c r="BN28" s="22">
        <f t="shared" si="39"/>
        <v>0</v>
      </c>
      <c r="BO28" s="22">
        <f t="shared" ref="BO28:BO34" si="342">$G28*BM28</f>
        <v>0</v>
      </c>
      <c r="BP28" s="22"/>
      <c r="BQ28" s="22">
        <f t="shared" si="41"/>
        <v>0</v>
      </c>
      <c r="BR28" s="22">
        <f t="shared" ref="BR28:BR34" si="343">$G28*BP28</f>
        <v>0</v>
      </c>
      <c r="BS28" s="22"/>
      <c r="BT28" s="22">
        <f t="shared" si="43"/>
        <v>0</v>
      </c>
      <c r="BU28" s="22">
        <f t="shared" ref="BU28:BU34" si="344">$G28*BS28</f>
        <v>0</v>
      </c>
      <c r="BV28" s="22"/>
      <c r="BW28" s="22">
        <f t="shared" si="45"/>
        <v>0</v>
      </c>
      <c r="BX28" s="22">
        <f t="shared" ref="BX28:BX34" si="345">$G28*BV28</f>
        <v>0</v>
      </c>
      <c r="BY28" s="22"/>
      <c r="BZ28" s="22">
        <f t="shared" si="47"/>
        <v>0</v>
      </c>
      <c r="CA28" s="22">
        <f t="shared" ref="CA28:CA34" si="346">$G28*BY28</f>
        <v>0</v>
      </c>
      <c r="CB28" s="22"/>
      <c r="CC28" s="22">
        <f t="shared" si="49"/>
        <v>0</v>
      </c>
      <c r="CD28" s="22">
        <f t="shared" ref="CD28:CD34" si="347">$G28*CB28</f>
        <v>0</v>
      </c>
      <c r="CE28" s="22"/>
      <c r="CF28" s="22">
        <f t="shared" si="51"/>
        <v>0</v>
      </c>
      <c r="CG28" s="22">
        <f t="shared" ref="CG28:CG34" si="348">$G28*CE28</f>
        <v>0</v>
      </c>
      <c r="CH28" s="22"/>
      <c r="CI28" s="22">
        <f t="shared" si="53"/>
        <v>0</v>
      </c>
      <c r="CJ28" s="22">
        <f t="shared" ref="CJ28:CJ34" si="349">$G28*CH28</f>
        <v>0</v>
      </c>
      <c r="CK28" s="22"/>
      <c r="CL28" s="22">
        <f t="shared" si="55"/>
        <v>0</v>
      </c>
      <c r="CM28" s="22">
        <f t="shared" ref="CM28:CM34" si="350">$G28*CK28</f>
        <v>0</v>
      </c>
      <c r="CN28" s="22"/>
      <c r="CO28" s="22">
        <f t="shared" si="57"/>
        <v>0</v>
      </c>
      <c r="CP28" s="22">
        <f t="shared" ref="CP28:CP34" si="351">$G28*CN28</f>
        <v>0</v>
      </c>
      <c r="CQ28" s="22"/>
      <c r="CR28" s="22">
        <f t="shared" si="59"/>
        <v>0</v>
      </c>
      <c r="CS28" s="22">
        <f t="shared" ref="CS28:CS34" si="352">$G28*CQ28</f>
        <v>0</v>
      </c>
      <c r="CT28" s="22"/>
      <c r="CU28" s="22">
        <f t="shared" si="61"/>
        <v>0</v>
      </c>
      <c r="CV28" s="22">
        <f t="shared" ref="CV28:CV34" si="353">$G28*CT28</f>
        <v>0</v>
      </c>
      <c r="CW28" s="22"/>
      <c r="CX28" s="22">
        <f t="shared" si="63"/>
        <v>0</v>
      </c>
      <c r="CY28" s="22">
        <f t="shared" ref="CY28:CY34" si="354">$G28*CW28</f>
        <v>0</v>
      </c>
      <c r="CZ28" s="22"/>
      <c r="DA28" s="22">
        <f t="shared" si="65"/>
        <v>0</v>
      </c>
      <c r="DB28" s="22">
        <f t="shared" ref="DB28:DB34" si="355">$G28*CZ28</f>
        <v>0</v>
      </c>
      <c r="DC28" s="22"/>
      <c r="DD28" s="22">
        <f t="shared" si="67"/>
        <v>0</v>
      </c>
      <c r="DE28" s="22">
        <f t="shared" ref="DE28:DE34" si="356">$G28*DC28</f>
        <v>0</v>
      </c>
      <c r="DF28" s="22"/>
      <c r="DG28" s="22">
        <f t="shared" si="69"/>
        <v>0</v>
      </c>
      <c r="DH28" s="22">
        <f t="shared" ref="DH28:DH34" si="357">$G28*DF28</f>
        <v>0</v>
      </c>
      <c r="DI28" s="22"/>
      <c r="DJ28" s="22">
        <f t="shared" si="71"/>
        <v>0</v>
      </c>
      <c r="DK28" s="22">
        <f t="shared" ref="DK28:DK34" si="358">$G28*DI28</f>
        <v>0</v>
      </c>
      <c r="DL28" s="22"/>
      <c r="DM28" s="22">
        <f t="shared" si="73"/>
        <v>0</v>
      </c>
      <c r="DN28" s="22">
        <f t="shared" ref="DN28:DN34" si="359">$G28*DL28</f>
        <v>0</v>
      </c>
      <c r="DO28" s="22"/>
      <c r="DP28" s="22">
        <f t="shared" si="75"/>
        <v>0</v>
      </c>
      <c r="DQ28" s="22">
        <f t="shared" ref="DQ28:DQ34" si="360">$G28*DO28</f>
        <v>0</v>
      </c>
      <c r="DR28" s="22"/>
      <c r="DS28" s="22">
        <f t="shared" si="77"/>
        <v>0</v>
      </c>
      <c r="DT28" s="22">
        <f t="shared" ref="DT28:DT34" si="361">$G28*DR28</f>
        <v>0</v>
      </c>
      <c r="DU28" s="22"/>
      <c r="DV28" s="22">
        <f t="shared" si="79"/>
        <v>0</v>
      </c>
      <c r="DW28" s="22">
        <f t="shared" ref="DW28:DW34" si="362">$G28*DU28</f>
        <v>0</v>
      </c>
      <c r="DX28" s="22"/>
      <c r="DY28" s="22">
        <f t="shared" si="81"/>
        <v>0</v>
      </c>
      <c r="DZ28" s="22">
        <f t="shared" ref="DZ28:DZ34" si="363">$G28*DX28</f>
        <v>0</v>
      </c>
      <c r="EA28" s="22"/>
      <c r="EB28" s="22">
        <f t="shared" si="83"/>
        <v>0</v>
      </c>
      <c r="EC28" s="22">
        <f t="shared" ref="EC28:EC34" si="364">$G28*EA28</f>
        <v>0</v>
      </c>
      <c r="ED28" s="22"/>
      <c r="EE28" s="22">
        <f t="shared" si="85"/>
        <v>0</v>
      </c>
      <c r="EF28" s="22">
        <f t="shared" ref="EF28:EF34" si="365">$G28*ED28</f>
        <v>0</v>
      </c>
      <c r="EG28" s="22"/>
      <c r="EH28" s="22">
        <f t="shared" si="87"/>
        <v>0</v>
      </c>
      <c r="EI28" s="22">
        <f t="shared" ref="EI28:EI34" si="366">$G28*EG28</f>
        <v>0</v>
      </c>
      <c r="EJ28" s="22"/>
      <c r="EK28" s="22">
        <f t="shared" si="89"/>
        <v>0</v>
      </c>
      <c r="EL28" s="22">
        <f t="shared" ref="EL28:EL34" si="367">$G28*EJ28</f>
        <v>0</v>
      </c>
      <c r="EM28" s="22"/>
      <c r="EN28" s="22">
        <f t="shared" si="91"/>
        <v>0</v>
      </c>
      <c r="EO28" s="22">
        <f t="shared" ref="EO28:EO34" si="368">$G28*EM28</f>
        <v>0</v>
      </c>
    </row>
    <row r="29" spans="1:145">
      <c r="A29" s="15">
        <v>58</v>
      </c>
      <c r="B29" s="15" t="s">
        <v>435</v>
      </c>
      <c r="C29" s="16" t="s">
        <v>391</v>
      </c>
      <c r="D29" s="15" t="s">
        <v>437</v>
      </c>
      <c r="E29" s="15"/>
      <c r="F29" s="19">
        <f t="shared" si="0"/>
        <v>9</v>
      </c>
      <c r="G29" s="20"/>
      <c r="H29" s="21"/>
      <c r="I29" s="22">
        <f t="shared" si="1"/>
        <v>0</v>
      </c>
      <c r="J29" s="22">
        <f t="shared" si="323"/>
        <v>0</v>
      </c>
      <c r="K29" s="22"/>
      <c r="L29" s="22">
        <f t="shared" si="3"/>
        <v>0</v>
      </c>
      <c r="M29" s="22">
        <f t="shared" si="324"/>
        <v>0</v>
      </c>
      <c r="N29" s="22"/>
      <c r="O29" s="22">
        <f t="shared" si="5"/>
        <v>0</v>
      </c>
      <c r="P29" s="22">
        <f t="shared" si="325"/>
        <v>0</v>
      </c>
      <c r="Q29" s="22"/>
      <c r="R29" s="22">
        <f t="shared" si="7"/>
        <v>0</v>
      </c>
      <c r="S29" s="22">
        <f t="shared" si="326"/>
        <v>0</v>
      </c>
      <c r="T29" s="22"/>
      <c r="U29" s="22">
        <f t="shared" si="9"/>
        <v>0</v>
      </c>
      <c r="V29" s="22">
        <f t="shared" si="327"/>
        <v>0</v>
      </c>
      <c r="W29" s="22"/>
      <c r="X29" s="22">
        <f t="shared" si="11"/>
        <v>0</v>
      </c>
      <c r="Y29" s="22">
        <f t="shared" si="328"/>
        <v>0</v>
      </c>
      <c r="Z29" s="22"/>
      <c r="AA29" s="22">
        <f t="shared" si="13"/>
        <v>0</v>
      </c>
      <c r="AB29" s="22">
        <f t="shared" si="329"/>
        <v>0</v>
      </c>
      <c r="AC29" s="22"/>
      <c r="AD29" s="22">
        <f t="shared" si="15"/>
        <v>0</v>
      </c>
      <c r="AE29" s="22">
        <f t="shared" si="330"/>
        <v>0</v>
      </c>
      <c r="AF29" s="22"/>
      <c r="AG29" s="22">
        <f t="shared" si="17"/>
        <v>0</v>
      </c>
      <c r="AH29" s="22">
        <f t="shared" si="331"/>
        <v>0</v>
      </c>
      <c r="AI29" s="22"/>
      <c r="AJ29" s="22">
        <f t="shared" si="19"/>
        <v>0</v>
      </c>
      <c r="AK29" s="22">
        <f t="shared" si="332"/>
        <v>0</v>
      </c>
      <c r="AL29" s="22"/>
      <c r="AM29" s="22">
        <f t="shared" si="21"/>
        <v>0</v>
      </c>
      <c r="AN29" s="22">
        <f t="shared" si="333"/>
        <v>0</v>
      </c>
      <c r="AO29" s="22">
        <v>1</v>
      </c>
      <c r="AP29" s="22">
        <f t="shared" si="23"/>
        <v>2</v>
      </c>
      <c r="AQ29" s="22">
        <f t="shared" si="334"/>
        <v>0</v>
      </c>
      <c r="AR29" s="22">
        <v>1</v>
      </c>
      <c r="AS29" s="22">
        <f t="shared" si="25"/>
        <v>7</v>
      </c>
      <c r="AT29" s="22">
        <f t="shared" si="335"/>
        <v>0</v>
      </c>
      <c r="AU29" s="22"/>
      <c r="AV29" s="22">
        <f t="shared" si="27"/>
        <v>0</v>
      </c>
      <c r="AW29" s="22">
        <f t="shared" si="336"/>
        <v>0</v>
      </c>
      <c r="AX29" s="22"/>
      <c r="AY29" s="22">
        <f t="shared" si="29"/>
        <v>0</v>
      </c>
      <c r="AZ29" s="22">
        <f t="shared" si="337"/>
        <v>0</v>
      </c>
      <c r="BA29" s="22"/>
      <c r="BB29" s="22">
        <f t="shared" si="31"/>
        <v>0</v>
      </c>
      <c r="BC29" s="22">
        <f t="shared" si="338"/>
        <v>0</v>
      </c>
      <c r="BD29" s="22"/>
      <c r="BE29" s="22">
        <f t="shared" si="33"/>
        <v>0</v>
      </c>
      <c r="BF29" s="22">
        <f t="shared" si="339"/>
        <v>0</v>
      </c>
      <c r="BG29" s="22"/>
      <c r="BH29" s="22">
        <f t="shared" si="35"/>
        <v>0</v>
      </c>
      <c r="BI29" s="22">
        <f t="shared" si="340"/>
        <v>0</v>
      </c>
      <c r="BJ29" s="22"/>
      <c r="BK29" s="22">
        <f t="shared" si="37"/>
        <v>0</v>
      </c>
      <c r="BL29" s="22">
        <f t="shared" si="341"/>
        <v>0</v>
      </c>
      <c r="BM29" s="22"/>
      <c r="BN29" s="22">
        <f t="shared" si="39"/>
        <v>0</v>
      </c>
      <c r="BO29" s="22">
        <f t="shared" si="342"/>
        <v>0</v>
      </c>
      <c r="BP29" s="22"/>
      <c r="BQ29" s="22">
        <f t="shared" si="41"/>
        <v>0</v>
      </c>
      <c r="BR29" s="22">
        <f t="shared" si="343"/>
        <v>0</v>
      </c>
      <c r="BS29" s="22"/>
      <c r="BT29" s="22">
        <f t="shared" si="43"/>
        <v>0</v>
      </c>
      <c r="BU29" s="22">
        <f t="shared" si="344"/>
        <v>0</v>
      </c>
      <c r="BV29" s="22"/>
      <c r="BW29" s="22">
        <f t="shared" si="45"/>
        <v>0</v>
      </c>
      <c r="BX29" s="22">
        <f t="shared" si="345"/>
        <v>0</v>
      </c>
      <c r="BY29" s="22"/>
      <c r="BZ29" s="22">
        <f t="shared" si="47"/>
        <v>0</v>
      </c>
      <c r="CA29" s="22">
        <f t="shared" si="346"/>
        <v>0</v>
      </c>
      <c r="CB29" s="22"/>
      <c r="CC29" s="22">
        <f t="shared" si="49"/>
        <v>0</v>
      </c>
      <c r="CD29" s="22">
        <f t="shared" si="347"/>
        <v>0</v>
      </c>
      <c r="CE29" s="22"/>
      <c r="CF29" s="22">
        <f t="shared" si="51"/>
        <v>0</v>
      </c>
      <c r="CG29" s="22">
        <f t="shared" si="348"/>
        <v>0</v>
      </c>
      <c r="CH29" s="22"/>
      <c r="CI29" s="22">
        <f t="shared" si="53"/>
        <v>0</v>
      </c>
      <c r="CJ29" s="22">
        <f t="shared" si="349"/>
        <v>0</v>
      </c>
      <c r="CK29" s="22"/>
      <c r="CL29" s="22">
        <f t="shared" si="55"/>
        <v>0</v>
      </c>
      <c r="CM29" s="22">
        <f t="shared" si="350"/>
        <v>0</v>
      </c>
      <c r="CN29" s="22"/>
      <c r="CO29" s="22">
        <f t="shared" si="57"/>
        <v>0</v>
      </c>
      <c r="CP29" s="22">
        <f t="shared" si="351"/>
        <v>0</v>
      </c>
      <c r="CQ29" s="22"/>
      <c r="CR29" s="22">
        <f t="shared" si="59"/>
        <v>0</v>
      </c>
      <c r="CS29" s="22">
        <f t="shared" si="352"/>
        <v>0</v>
      </c>
      <c r="CT29" s="22"/>
      <c r="CU29" s="22">
        <f t="shared" si="61"/>
        <v>0</v>
      </c>
      <c r="CV29" s="22">
        <f t="shared" si="353"/>
        <v>0</v>
      </c>
      <c r="CW29" s="22"/>
      <c r="CX29" s="22">
        <f t="shared" si="63"/>
        <v>0</v>
      </c>
      <c r="CY29" s="22">
        <f t="shared" si="354"/>
        <v>0</v>
      </c>
      <c r="CZ29" s="22"/>
      <c r="DA29" s="22">
        <f t="shared" si="65"/>
        <v>0</v>
      </c>
      <c r="DB29" s="22">
        <f t="shared" si="355"/>
        <v>0</v>
      </c>
      <c r="DC29" s="22"/>
      <c r="DD29" s="22">
        <f t="shared" si="67"/>
        <v>0</v>
      </c>
      <c r="DE29" s="22">
        <f t="shared" si="356"/>
        <v>0</v>
      </c>
      <c r="DF29" s="22"/>
      <c r="DG29" s="22">
        <f t="shared" si="69"/>
        <v>0</v>
      </c>
      <c r="DH29" s="22">
        <f t="shared" si="357"/>
        <v>0</v>
      </c>
      <c r="DI29" s="22"/>
      <c r="DJ29" s="22">
        <f t="shared" si="71"/>
        <v>0</v>
      </c>
      <c r="DK29" s="22">
        <f t="shared" si="358"/>
        <v>0</v>
      </c>
      <c r="DL29" s="22"/>
      <c r="DM29" s="22">
        <f t="shared" si="73"/>
        <v>0</v>
      </c>
      <c r="DN29" s="22">
        <f t="shared" si="359"/>
        <v>0</v>
      </c>
      <c r="DO29" s="22"/>
      <c r="DP29" s="22">
        <f t="shared" si="75"/>
        <v>0</v>
      </c>
      <c r="DQ29" s="22">
        <f t="shared" si="360"/>
        <v>0</v>
      </c>
      <c r="DR29" s="22"/>
      <c r="DS29" s="22">
        <f t="shared" si="77"/>
        <v>0</v>
      </c>
      <c r="DT29" s="22">
        <f t="shared" si="361"/>
        <v>0</v>
      </c>
      <c r="DU29" s="22"/>
      <c r="DV29" s="22">
        <f t="shared" si="79"/>
        <v>0</v>
      </c>
      <c r="DW29" s="22">
        <f t="shared" si="362"/>
        <v>0</v>
      </c>
      <c r="DX29" s="22"/>
      <c r="DY29" s="22">
        <f t="shared" si="81"/>
        <v>0</v>
      </c>
      <c r="DZ29" s="22">
        <f t="shared" si="363"/>
        <v>0</v>
      </c>
      <c r="EA29" s="22"/>
      <c r="EB29" s="22">
        <f t="shared" si="83"/>
        <v>0</v>
      </c>
      <c r="EC29" s="22">
        <f t="shared" si="364"/>
        <v>0</v>
      </c>
      <c r="ED29" s="22"/>
      <c r="EE29" s="22">
        <f t="shared" si="85"/>
        <v>0</v>
      </c>
      <c r="EF29" s="22">
        <f t="shared" si="365"/>
        <v>0</v>
      </c>
      <c r="EG29" s="22"/>
      <c r="EH29" s="22">
        <f t="shared" si="87"/>
        <v>0</v>
      </c>
      <c r="EI29" s="22">
        <f t="shared" si="366"/>
        <v>0</v>
      </c>
      <c r="EJ29" s="22"/>
      <c r="EK29" s="22">
        <f t="shared" si="89"/>
        <v>0</v>
      </c>
      <c r="EL29" s="22">
        <f t="shared" si="367"/>
        <v>0</v>
      </c>
      <c r="EM29" s="22"/>
      <c r="EN29" s="22">
        <f t="shared" si="91"/>
        <v>0</v>
      </c>
      <c r="EO29" s="22">
        <f t="shared" si="368"/>
        <v>0</v>
      </c>
    </row>
    <row r="30" spans="1:145">
      <c r="A30" s="15">
        <v>59</v>
      </c>
      <c r="B30" s="15" t="s">
        <v>435</v>
      </c>
      <c r="C30" s="16" t="s">
        <v>391</v>
      </c>
      <c r="D30" s="16" t="s">
        <v>438</v>
      </c>
      <c r="E30" s="15"/>
      <c r="F30" s="19">
        <f t="shared" si="0"/>
        <v>9</v>
      </c>
      <c r="G30" s="20"/>
      <c r="H30" s="21"/>
      <c r="I30" s="22">
        <f t="shared" si="1"/>
        <v>0</v>
      </c>
      <c r="J30" s="22">
        <f t="shared" si="323"/>
        <v>0</v>
      </c>
      <c r="K30" s="22"/>
      <c r="L30" s="22">
        <f t="shared" si="3"/>
        <v>0</v>
      </c>
      <c r="M30" s="22">
        <f t="shared" si="324"/>
        <v>0</v>
      </c>
      <c r="N30" s="22"/>
      <c r="O30" s="22">
        <f t="shared" si="5"/>
        <v>0</v>
      </c>
      <c r="P30" s="22">
        <f t="shared" si="325"/>
        <v>0</v>
      </c>
      <c r="Q30" s="22"/>
      <c r="R30" s="22">
        <f t="shared" si="7"/>
        <v>0</v>
      </c>
      <c r="S30" s="22">
        <f t="shared" si="326"/>
        <v>0</v>
      </c>
      <c r="T30" s="22"/>
      <c r="U30" s="22">
        <f t="shared" si="9"/>
        <v>0</v>
      </c>
      <c r="V30" s="22">
        <f t="shared" si="327"/>
        <v>0</v>
      </c>
      <c r="W30" s="22"/>
      <c r="X30" s="22">
        <f t="shared" si="11"/>
        <v>0</v>
      </c>
      <c r="Y30" s="22">
        <f t="shared" si="328"/>
        <v>0</v>
      </c>
      <c r="Z30" s="22"/>
      <c r="AA30" s="22">
        <f t="shared" si="13"/>
        <v>0</v>
      </c>
      <c r="AB30" s="22">
        <f t="shared" si="329"/>
        <v>0</v>
      </c>
      <c r="AC30" s="22"/>
      <c r="AD30" s="22">
        <f t="shared" si="15"/>
        <v>0</v>
      </c>
      <c r="AE30" s="22">
        <f t="shared" si="330"/>
        <v>0</v>
      </c>
      <c r="AF30" s="22"/>
      <c r="AG30" s="22">
        <f t="shared" si="17"/>
        <v>0</v>
      </c>
      <c r="AH30" s="22">
        <f t="shared" si="331"/>
        <v>0</v>
      </c>
      <c r="AI30" s="22"/>
      <c r="AJ30" s="22">
        <f t="shared" si="19"/>
        <v>0</v>
      </c>
      <c r="AK30" s="22">
        <f t="shared" si="332"/>
        <v>0</v>
      </c>
      <c r="AL30" s="22"/>
      <c r="AM30" s="22">
        <f t="shared" si="21"/>
        <v>0</v>
      </c>
      <c r="AN30" s="22">
        <f t="shared" si="333"/>
        <v>0</v>
      </c>
      <c r="AO30" s="22">
        <v>1</v>
      </c>
      <c r="AP30" s="22">
        <f t="shared" si="23"/>
        <v>2</v>
      </c>
      <c r="AQ30" s="22">
        <f t="shared" si="334"/>
        <v>0</v>
      </c>
      <c r="AR30" s="22">
        <v>1</v>
      </c>
      <c r="AS30" s="22">
        <f t="shared" si="25"/>
        <v>7</v>
      </c>
      <c r="AT30" s="22">
        <f t="shared" si="335"/>
        <v>0</v>
      </c>
      <c r="AU30" s="22"/>
      <c r="AV30" s="22">
        <f t="shared" si="27"/>
        <v>0</v>
      </c>
      <c r="AW30" s="22">
        <f t="shared" si="336"/>
        <v>0</v>
      </c>
      <c r="AX30" s="22"/>
      <c r="AY30" s="22">
        <f t="shared" si="29"/>
        <v>0</v>
      </c>
      <c r="AZ30" s="22">
        <f t="shared" si="337"/>
        <v>0</v>
      </c>
      <c r="BA30" s="22"/>
      <c r="BB30" s="22">
        <f t="shared" si="31"/>
        <v>0</v>
      </c>
      <c r="BC30" s="22">
        <f t="shared" si="338"/>
        <v>0</v>
      </c>
      <c r="BD30" s="22"/>
      <c r="BE30" s="22">
        <f t="shared" si="33"/>
        <v>0</v>
      </c>
      <c r="BF30" s="22">
        <f t="shared" si="339"/>
        <v>0</v>
      </c>
      <c r="BG30" s="22"/>
      <c r="BH30" s="22">
        <f t="shared" si="35"/>
        <v>0</v>
      </c>
      <c r="BI30" s="22">
        <f t="shared" si="340"/>
        <v>0</v>
      </c>
      <c r="BJ30" s="22"/>
      <c r="BK30" s="22">
        <f t="shared" si="37"/>
        <v>0</v>
      </c>
      <c r="BL30" s="22">
        <f t="shared" si="341"/>
        <v>0</v>
      </c>
      <c r="BM30" s="22"/>
      <c r="BN30" s="22">
        <f t="shared" si="39"/>
        <v>0</v>
      </c>
      <c r="BO30" s="22">
        <f t="shared" si="342"/>
        <v>0</v>
      </c>
      <c r="BP30" s="22"/>
      <c r="BQ30" s="22">
        <f t="shared" si="41"/>
        <v>0</v>
      </c>
      <c r="BR30" s="22">
        <f t="shared" si="343"/>
        <v>0</v>
      </c>
      <c r="BS30" s="22"/>
      <c r="BT30" s="22">
        <f t="shared" si="43"/>
        <v>0</v>
      </c>
      <c r="BU30" s="22">
        <f t="shared" si="344"/>
        <v>0</v>
      </c>
      <c r="BV30" s="22"/>
      <c r="BW30" s="22">
        <f t="shared" si="45"/>
        <v>0</v>
      </c>
      <c r="BX30" s="22">
        <f t="shared" si="345"/>
        <v>0</v>
      </c>
      <c r="BY30" s="22"/>
      <c r="BZ30" s="22">
        <f t="shared" si="47"/>
        <v>0</v>
      </c>
      <c r="CA30" s="22">
        <f t="shared" si="346"/>
        <v>0</v>
      </c>
      <c r="CB30" s="22"/>
      <c r="CC30" s="22">
        <f t="shared" si="49"/>
        <v>0</v>
      </c>
      <c r="CD30" s="22">
        <f t="shared" si="347"/>
        <v>0</v>
      </c>
      <c r="CE30" s="22"/>
      <c r="CF30" s="22">
        <f t="shared" si="51"/>
        <v>0</v>
      </c>
      <c r="CG30" s="22">
        <f t="shared" si="348"/>
        <v>0</v>
      </c>
      <c r="CH30" s="22"/>
      <c r="CI30" s="22">
        <f t="shared" si="53"/>
        <v>0</v>
      </c>
      <c r="CJ30" s="22">
        <f t="shared" si="349"/>
        <v>0</v>
      </c>
      <c r="CK30" s="22"/>
      <c r="CL30" s="22">
        <f t="shared" si="55"/>
        <v>0</v>
      </c>
      <c r="CM30" s="22">
        <f t="shared" si="350"/>
        <v>0</v>
      </c>
      <c r="CN30" s="22"/>
      <c r="CO30" s="22">
        <f t="shared" si="57"/>
        <v>0</v>
      </c>
      <c r="CP30" s="22">
        <f t="shared" si="351"/>
        <v>0</v>
      </c>
      <c r="CQ30" s="22"/>
      <c r="CR30" s="22">
        <f t="shared" si="59"/>
        <v>0</v>
      </c>
      <c r="CS30" s="22">
        <f t="shared" si="352"/>
        <v>0</v>
      </c>
      <c r="CT30" s="22"/>
      <c r="CU30" s="22">
        <f t="shared" si="61"/>
        <v>0</v>
      </c>
      <c r="CV30" s="22">
        <f t="shared" si="353"/>
        <v>0</v>
      </c>
      <c r="CW30" s="22"/>
      <c r="CX30" s="22">
        <f t="shared" si="63"/>
        <v>0</v>
      </c>
      <c r="CY30" s="22">
        <f t="shared" si="354"/>
        <v>0</v>
      </c>
      <c r="CZ30" s="22"/>
      <c r="DA30" s="22">
        <f t="shared" si="65"/>
        <v>0</v>
      </c>
      <c r="DB30" s="22">
        <f t="shared" si="355"/>
        <v>0</v>
      </c>
      <c r="DC30" s="22"/>
      <c r="DD30" s="22">
        <f t="shared" si="67"/>
        <v>0</v>
      </c>
      <c r="DE30" s="22">
        <f t="shared" si="356"/>
        <v>0</v>
      </c>
      <c r="DF30" s="22"/>
      <c r="DG30" s="22">
        <f t="shared" si="69"/>
        <v>0</v>
      </c>
      <c r="DH30" s="22">
        <f t="shared" si="357"/>
        <v>0</v>
      </c>
      <c r="DI30" s="22"/>
      <c r="DJ30" s="22">
        <f t="shared" si="71"/>
        <v>0</v>
      </c>
      <c r="DK30" s="22">
        <f t="shared" si="358"/>
        <v>0</v>
      </c>
      <c r="DL30" s="22"/>
      <c r="DM30" s="22">
        <f t="shared" si="73"/>
        <v>0</v>
      </c>
      <c r="DN30" s="22">
        <f t="shared" si="359"/>
        <v>0</v>
      </c>
      <c r="DO30" s="22"/>
      <c r="DP30" s="22">
        <f t="shared" si="75"/>
        <v>0</v>
      </c>
      <c r="DQ30" s="22">
        <f t="shared" si="360"/>
        <v>0</v>
      </c>
      <c r="DR30" s="22"/>
      <c r="DS30" s="22">
        <f t="shared" si="77"/>
        <v>0</v>
      </c>
      <c r="DT30" s="22">
        <f t="shared" si="361"/>
        <v>0</v>
      </c>
      <c r="DU30" s="22"/>
      <c r="DV30" s="22">
        <f t="shared" si="79"/>
        <v>0</v>
      </c>
      <c r="DW30" s="22">
        <f t="shared" si="362"/>
        <v>0</v>
      </c>
      <c r="DX30" s="22"/>
      <c r="DY30" s="22">
        <f t="shared" si="81"/>
        <v>0</v>
      </c>
      <c r="DZ30" s="22">
        <f t="shared" si="363"/>
        <v>0</v>
      </c>
      <c r="EA30" s="22"/>
      <c r="EB30" s="22">
        <f t="shared" si="83"/>
        <v>0</v>
      </c>
      <c r="EC30" s="22">
        <f t="shared" si="364"/>
        <v>0</v>
      </c>
      <c r="ED30" s="22"/>
      <c r="EE30" s="22">
        <f t="shared" si="85"/>
        <v>0</v>
      </c>
      <c r="EF30" s="22">
        <f t="shared" si="365"/>
        <v>0</v>
      </c>
      <c r="EG30" s="22"/>
      <c r="EH30" s="22">
        <f t="shared" si="87"/>
        <v>0</v>
      </c>
      <c r="EI30" s="22">
        <f t="shared" si="366"/>
        <v>0</v>
      </c>
      <c r="EJ30" s="22"/>
      <c r="EK30" s="22">
        <f t="shared" si="89"/>
        <v>0</v>
      </c>
      <c r="EL30" s="22">
        <f t="shared" si="367"/>
        <v>0</v>
      </c>
      <c r="EM30" s="22"/>
      <c r="EN30" s="22">
        <f t="shared" si="91"/>
        <v>0</v>
      </c>
      <c r="EO30" s="22">
        <f t="shared" si="368"/>
        <v>0</v>
      </c>
    </row>
    <row r="31" spans="1:145">
      <c r="A31" s="15">
        <v>60</v>
      </c>
      <c r="B31" s="15" t="s">
        <v>439</v>
      </c>
      <c r="C31" s="15" t="s">
        <v>440</v>
      </c>
      <c r="D31" s="15" t="s">
        <v>441</v>
      </c>
      <c r="E31" s="16" t="s">
        <v>442</v>
      </c>
      <c r="F31" s="19">
        <f t="shared" si="0"/>
        <v>9</v>
      </c>
      <c r="G31" s="20"/>
      <c r="H31" s="21"/>
      <c r="I31" s="22">
        <f t="shared" si="1"/>
        <v>0</v>
      </c>
      <c r="J31" s="22">
        <f t="shared" si="323"/>
        <v>0</v>
      </c>
      <c r="K31" s="22"/>
      <c r="L31" s="22">
        <f t="shared" si="3"/>
        <v>0</v>
      </c>
      <c r="M31" s="22">
        <f t="shared" si="324"/>
        <v>0</v>
      </c>
      <c r="N31" s="22"/>
      <c r="O31" s="22">
        <f t="shared" si="5"/>
        <v>0</v>
      </c>
      <c r="P31" s="22">
        <f t="shared" si="325"/>
        <v>0</v>
      </c>
      <c r="Q31" s="22"/>
      <c r="R31" s="22">
        <f t="shared" si="7"/>
        <v>0</v>
      </c>
      <c r="S31" s="22">
        <f t="shared" si="326"/>
        <v>0</v>
      </c>
      <c r="T31" s="22"/>
      <c r="U31" s="22">
        <f t="shared" si="9"/>
        <v>0</v>
      </c>
      <c r="V31" s="22">
        <f t="shared" si="327"/>
        <v>0</v>
      </c>
      <c r="W31" s="22"/>
      <c r="X31" s="22">
        <f t="shared" si="11"/>
        <v>0</v>
      </c>
      <c r="Y31" s="22">
        <f t="shared" si="328"/>
        <v>0</v>
      </c>
      <c r="Z31" s="22"/>
      <c r="AA31" s="22">
        <f t="shared" si="13"/>
        <v>0</v>
      </c>
      <c r="AB31" s="22">
        <f t="shared" si="329"/>
        <v>0</v>
      </c>
      <c r="AC31" s="22"/>
      <c r="AD31" s="22">
        <f t="shared" si="15"/>
        <v>0</v>
      </c>
      <c r="AE31" s="22">
        <f t="shared" si="330"/>
        <v>0</v>
      </c>
      <c r="AF31" s="22"/>
      <c r="AG31" s="22">
        <f t="shared" si="17"/>
        <v>0</v>
      </c>
      <c r="AH31" s="22">
        <f t="shared" si="331"/>
        <v>0</v>
      </c>
      <c r="AI31" s="22"/>
      <c r="AJ31" s="22">
        <f t="shared" si="19"/>
        <v>0</v>
      </c>
      <c r="AK31" s="22">
        <f t="shared" si="332"/>
        <v>0</v>
      </c>
      <c r="AL31" s="22"/>
      <c r="AM31" s="22">
        <f t="shared" si="21"/>
        <v>0</v>
      </c>
      <c r="AN31" s="22">
        <f t="shared" si="333"/>
        <v>0</v>
      </c>
      <c r="AO31" s="22">
        <v>1</v>
      </c>
      <c r="AP31" s="22">
        <f t="shared" si="23"/>
        <v>2</v>
      </c>
      <c r="AQ31" s="22">
        <f t="shared" si="334"/>
        <v>0</v>
      </c>
      <c r="AR31" s="22">
        <v>1</v>
      </c>
      <c r="AS31" s="22">
        <f t="shared" si="25"/>
        <v>7</v>
      </c>
      <c r="AT31" s="22">
        <f t="shared" si="335"/>
        <v>0</v>
      </c>
      <c r="AU31" s="22"/>
      <c r="AV31" s="22">
        <f t="shared" si="27"/>
        <v>0</v>
      </c>
      <c r="AW31" s="22">
        <f t="shared" si="336"/>
        <v>0</v>
      </c>
      <c r="AX31" s="22"/>
      <c r="AY31" s="22">
        <f t="shared" si="29"/>
        <v>0</v>
      </c>
      <c r="AZ31" s="22">
        <f t="shared" si="337"/>
        <v>0</v>
      </c>
      <c r="BA31" s="22"/>
      <c r="BB31" s="22">
        <f t="shared" si="31"/>
        <v>0</v>
      </c>
      <c r="BC31" s="22">
        <f t="shared" si="338"/>
        <v>0</v>
      </c>
      <c r="BD31" s="22"/>
      <c r="BE31" s="22">
        <f t="shared" si="33"/>
        <v>0</v>
      </c>
      <c r="BF31" s="22">
        <f t="shared" si="339"/>
        <v>0</v>
      </c>
      <c r="BG31" s="22"/>
      <c r="BH31" s="22">
        <f t="shared" si="35"/>
        <v>0</v>
      </c>
      <c r="BI31" s="22">
        <f t="shared" si="340"/>
        <v>0</v>
      </c>
      <c r="BJ31" s="22"/>
      <c r="BK31" s="22">
        <f t="shared" si="37"/>
        <v>0</v>
      </c>
      <c r="BL31" s="22">
        <f t="shared" si="341"/>
        <v>0</v>
      </c>
      <c r="BM31" s="22"/>
      <c r="BN31" s="22">
        <f t="shared" si="39"/>
        <v>0</v>
      </c>
      <c r="BO31" s="22">
        <f t="shared" si="342"/>
        <v>0</v>
      </c>
      <c r="BP31" s="22"/>
      <c r="BQ31" s="22">
        <f t="shared" si="41"/>
        <v>0</v>
      </c>
      <c r="BR31" s="22">
        <f t="shared" si="343"/>
        <v>0</v>
      </c>
      <c r="BS31" s="22"/>
      <c r="BT31" s="22">
        <f t="shared" si="43"/>
        <v>0</v>
      </c>
      <c r="BU31" s="22">
        <f t="shared" si="344"/>
        <v>0</v>
      </c>
      <c r="BV31" s="22"/>
      <c r="BW31" s="22">
        <f t="shared" si="45"/>
        <v>0</v>
      </c>
      <c r="BX31" s="22">
        <f t="shared" si="345"/>
        <v>0</v>
      </c>
      <c r="BY31" s="22"/>
      <c r="BZ31" s="22">
        <f t="shared" si="47"/>
        <v>0</v>
      </c>
      <c r="CA31" s="22">
        <f t="shared" si="346"/>
        <v>0</v>
      </c>
      <c r="CB31" s="22"/>
      <c r="CC31" s="22">
        <f t="shared" si="49"/>
        <v>0</v>
      </c>
      <c r="CD31" s="22">
        <f t="shared" si="347"/>
        <v>0</v>
      </c>
      <c r="CE31" s="22"/>
      <c r="CF31" s="22">
        <f t="shared" si="51"/>
        <v>0</v>
      </c>
      <c r="CG31" s="22">
        <f t="shared" si="348"/>
        <v>0</v>
      </c>
      <c r="CH31" s="22"/>
      <c r="CI31" s="22">
        <f t="shared" si="53"/>
        <v>0</v>
      </c>
      <c r="CJ31" s="22">
        <f t="shared" si="349"/>
        <v>0</v>
      </c>
      <c r="CK31" s="22"/>
      <c r="CL31" s="22">
        <f t="shared" si="55"/>
        <v>0</v>
      </c>
      <c r="CM31" s="22">
        <f t="shared" si="350"/>
        <v>0</v>
      </c>
      <c r="CN31" s="22"/>
      <c r="CO31" s="22">
        <f t="shared" si="57"/>
        <v>0</v>
      </c>
      <c r="CP31" s="22">
        <f t="shared" si="351"/>
        <v>0</v>
      </c>
      <c r="CQ31" s="22"/>
      <c r="CR31" s="22">
        <f t="shared" si="59"/>
        <v>0</v>
      </c>
      <c r="CS31" s="22">
        <f t="shared" si="352"/>
        <v>0</v>
      </c>
      <c r="CT31" s="22"/>
      <c r="CU31" s="22">
        <f t="shared" si="61"/>
        <v>0</v>
      </c>
      <c r="CV31" s="22">
        <f t="shared" si="353"/>
        <v>0</v>
      </c>
      <c r="CW31" s="22"/>
      <c r="CX31" s="22">
        <f t="shared" si="63"/>
        <v>0</v>
      </c>
      <c r="CY31" s="22">
        <f t="shared" si="354"/>
        <v>0</v>
      </c>
      <c r="CZ31" s="22"/>
      <c r="DA31" s="22">
        <f t="shared" si="65"/>
        <v>0</v>
      </c>
      <c r="DB31" s="22">
        <f t="shared" si="355"/>
        <v>0</v>
      </c>
      <c r="DC31" s="22"/>
      <c r="DD31" s="22">
        <f t="shared" si="67"/>
        <v>0</v>
      </c>
      <c r="DE31" s="22">
        <f t="shared" si="356"/>
        <v>0</v>
      </c>
      <c r="DF31" s="22"/>
      <c r="DG31" s="22">
        <f t="shared" si="69"/>
        <v>0</v>
      </c>
      <c r="DH31" s="22">
        <f t="shared" si="357"/>
        <v>0</v>
      </c>
      <c r="DI31" s="22"/>
      <c r="DJ31" s="22">
        <f t="shared" si="71"/>
        <v>0</v>
      </c>
      <c r="DK31" s="22">
        <f t="shared" si="358"/>
        <v>0</v>
      </c>
      <c r="DL31" s="22"/>
      <c r="DM31" s="22">
        <f t="shared" si="73"/>
        <v>0</v>
      </c>
      <c r="DN31" s="22">
        <f t="shared" si="359"/>
        <v>0</v>
      </c>
      <c r="DO31" s="22"/>
      <c r="DP31" s="22">
        <f t="shared" si="75"/>
        <v>0</v>
      </c>
      <c r="DQ31" s="22">
        <f t="shared" si="360"/>
        <v>0</v>
      </c>
      <c r="DR31" s="22"/>
      <c r="DS31" s="22">
        <f t="shared" si="77"/>
        <v>0</v>
      </c>
      <c r="DT31" s="22">
        <f t="shared" si="361"/>
        <v>0</v>
      </c>
      <c r="DU31" s="22"/>
      <c r="DV31" s="22">
        <f t="shared" si="79"/>
        <v>0</v>
      </c>
      <c r="DW31" s="22">
        <f t="shared" si="362"/>
        <v>0</v>
      </c>
      <c r="DX31" s="22"/>
      <c r="DY31" s="22">
        <f t="shared" si="81"/>
        <v>0</v>
      </c>
      <c r="DZ31" s="22">
        <f t="shared" si="363"/>
        <v>0</v>
      </c>
      <c r="EA31" s="22"/>
      <c r="EB31" s="22">
        <f t="shared" si="83"/>
        <v>0</v>
      </c>
      <c r="EC31" s="22">
        <f t="shared" si="364"/>
        <v>0</v>
      </c>
      <c r="ED31" s="22"/>
      <c r="EE31" s="22">
        <f t="shared" si="85"/>
        <v>0</v>
      </c>
      <c r="EF31" s="22">
        <f t="shared" si="365"/>
        <v>0</v>
      </c>
      <c r="EG31" s="22"/>
      <c r="EH31" s="22">
        <f t="shared" si="87"/>
        <v>0</v>
      </c>
      <c r="EI31" s="22">
        <f t="shared" si="366"/>
        <v>0</v>
      </c>
      <c r="EJ31" s="22"/>
      <c r="EK31" s="22">
        <f t="shared" si="89"/>
        <v>0</v>
      </c>
      <c r="EL31" s="22">
        <f t="shared" si="367"/>
        <v>0</v>
      </c>
      <c r="EM31" s="22"/>
      <c r="EN31" s="22">
        <f t="shared" si="91"/>
        <v>0</v>
      </c>
      <c r="EO31" s="22">
        <f t="shared" si="368"/>
        <v>0</v>
      </c>
    </row>
    <row r="32" spans="1:145">
      <c r="A32" s="15">
        <v>61</v>
      </c>
      <c r="B32" s="15" t="s">
        <v>443</v>
      </c>
      <c r="C32" s="16" t="s">
        <v>374</v>
      </c>
      <c r="D32" s="15" t="s">
        <v>444</v>
      </c>
      <c r="E32" s="15" t="s">
        <v>376</v>
      </c>
      <c r="F32" s="19">
        <f t="shared" si="0"/>
        <v>10</v>
      </c>
      <c r="G32" s="20"/>
      <c r="H32" s="21"/>
      <c r="I32" s="22">
        <f t="shared" si="1"/>
        <v>0</v>
      </c>
      <c r="J32" s="22">
        <f t="shared" si="323"/>
        <v>0</v>
      </c>
      <c r="K32" s="22"/>
      <c r="L32" s="22">
        <f t="shared" si="3"/>
        <v>0</v>
      </c>
      <c r="M32" s="22">
        <f t="shared" si="324"/>
        <v>0</v>
      </c>
      <c r="N32" s="22"/>
      <c r="O32" s="22">
        <f t="shared" si="5"/>
        <v>0</v>
      </c>
      <c r="P32" s="22">
        <f t="shared" si="325"/>
        <v>0</v>
      </c>
      <c r="Q32" s="22"/>
      <c r="R32" s="22">
        <f t="shared" si="7"/>
        <v>0</v>
      </c>
      <c r="S32" s="22">
        <f t="shared" si="326"/>
        <v>0</v>
      </c>
      <c r="T32" s="22"/>
      <c r="U32" s="22">
        <f t="shared" si="9"/>
        <v>0</v>
      </c>
      <c r="V32" s="22">
        <f t="shared" si="327"/>
        <v>0</v>
      </c>
      <c r="W32" s="22"/>
      <c r="X32" s="22">
        <f t="shared" si="11"/>
        <v>0</v>
      </c>
      <c r="Y32" s="22">
        <f t="shared" si="328"/>
        <v>0</v>
      </c>
      <c r="Z32" s="22"/>
      <c r="AA32" s="22">
        <f t="shared" si="13"/>
        <v>0</v>
      </c>
      <c r="AB32" s="22">
        <f t="shared" si="329"/>
        <v>0</v>
      </c>
      <c r="AC32" s="22"/>
      <c r="AD32" s="22">
        <f t="shared" si="15"/>
        <v>0</v>
      </c>
      <c r="AE32" s="22">
        <f t="shared" si="330"/>
        <v>0</v>
      </c>
      <c r="AF32" s="22"/>
      <c r="AG32" s="22">
        <f t="shared" si="17"/>
        <v>0</v>
      </c>
      <c r="AH32" s="22">
        <f t="shared" si="331"/>
        <v>0</v>
      </c>
      <c r="AI32" s="22"/>
      <c r="AJ32" s="22">
        <f t="shared" si="19"/>
        <v>0</v>
      </c>
      <c r="AK32" s="22">
        <f t="shared" si="332"/>
        <v>0</v>
      </c>
      <c r="AL32" s="22"/>
      <c r="AM32" s="22">
        <f t="shared" si="21"/>
        <v>0</v>
      </c>
      <c r="AN32" s="22">
        <f t="shared" si="333"/>
        <v>0</v>
      </c>
      <c r="AO32" s="22">
        <v>1</v>
      </c>
      <c r="AP32" s="22">
        <f t="shared" si="23"/>
        <v>2</v>
      </c>
      <c r="AQ32" s="22">
        <f t="shared" si="334"/>
        <v>0</v>
      </c>
      <c r="AR32" s="22">
        <v>1</v>
      </c>
      <c r="AS32" s="22">
        <f t="shared" si="25"/>
        <v>7</v>
      </c>
      <c r="AT32" s="22">
        <f t="shared" si="335"/>
        <v>0</v>
      </c>
      <c r="AU32" s="22"/>
      <c r="AV32" s="22">
        <f t="shared" si="27"/>
        <v>0</v>
      </c>
      <c r="AW32" s="22">
        <f t="shared" si="336"/>
        <v>0</v>
      </c>
      <c r="AX32" s="22"/>
      <c r="AY32" s="22">
        <f t="shared" si="29"/>
        <v>0</v>
      </c>
      <c r="AZ32" s="22">
        <f t="shared" si="337"/>
        <v>0</v>
      </c>
      <c r="BA32" s="22"/>
      <c r="BB32" s="22">
        <f t="shared" si="31"/>
        <v>0</v>
      </c>
      <c r="BC32" s="22">
        <f t="shared" si="338"/>
        <v>0</v>
      </c>
      <c r="BD32" s="22"/>
      <c r="BE32" s="22">
        <f t="shared" si="33"/>
        <v>0</v>
      </c>
      <c r="BF32" s="22">
        <f t="shared" si="339"/>
        <v>0</v>
      </c>
      <c r="BG32" s="22"/>
      <c r="BH32" s="22">
        <f t="shared" si="35"/>
        <v>0</v>
      </c>
      <c r="BI32" s="22">
        <f t="shared" si="340"/>
        <v>0</v>
      </c>
      <c r="BJ32" s="22"/>
      <c r="BK32" s="22">
        <f t="shared" si="37"/>
        <v>0</v>
      </c>
      <c r="BL32" s="22">
        <f t="shared" si="341"/>
        <v>0</v>
      </c>
      <c r="BM32" s="22"/>
      <c r="BN32" s="22">
        <f t="shared" si="39"/>
        <v>0</v>
      </c>
      <c r="BO32" s="22">
        <f t="shared" si="342"/>
        <v>0</v>
      </c>
      <c r="BP32" s="22"/>
      <c r="BQ32" s="22">
        <f t="shared" si="41"/>
        <v>0</v>
      </c>
      <c r="BR32" s="22">
        <f t="shared" si="343"/>
        <v>0</v>
      </c>
      <c r="BS32" s="22"/>
      <c r="BT32" s="22">
        <f t="shared" si="43"/>
        <v>0</v>
      </c>
      <c r="BU32" s="22">
        <f t="shared" si="344"/>
        <v>0</v>
      </c>
      <c r="BV32" s="22"/>
      <c r="BW32" s="22">
        <f t="shared" si="45"/>
        <v>0</v>
      </c>
      <c r="BX32" s="22">
        <f t="shared" si="345"/>
        <v>0</v>
      </c>
      <c r="BY32" s="22"/>
      <c r="BZ32" s="22">
        <f t="shared" si="47"/>
        <v>0</v>
      </c>
      <c r="CA32" s="22">
        <f t="shared" si="346"/>
        <v>0</v>
      </c>
      <c r="CB32" s="22"/>
      <c r="CC32" s="22">
        <f t="shared" si="49"/>
        <v>0</v>
      </c>
      <c r="CD32" s="22">
        <f t="shared" si="347"/>
        <v>0</v>
      </c>
      <c r="CE32" s="22"/>
      <c r="CF32" s="22">
        <f t="shared" si="51"/>
        <v>0</v>
      </c>
      <c r="CG32" s="22">
        <f t="shared" si="348"/>
        <v>0</v>
      </c>
      <c r="CH32" s="22"/>
      <c r="CI32" s="22">
        <f t="shared" si="53"/>
        <v>0</v>
      </c>
      <c r="CJ32" s="22">
        <f t="shared" si="349"/>
        <v>0</v>
      </c>
      <c r="CK32" s="22"/>
      <c r="CL32" s="22">
        <f t="shared" si="55"/>
        <v>0</v>
      </c>
      <c r="CM32" s="22">
        <f t="shared" si="350"/>
        <v>0</v>
      </c>
      <c r="CN32" s="22"/>
      <c r="CO32" s="22">
        <f t="shared" si="57"/>
        <v>0</v>
      </c>
      <c r="CP32" s="22">
        <f t="shared" si="351"/>
        <v>0</v>
      </c>
      <c r="CQ32" s="22"/>
      <c r="CR32" s="22">
        <f t="shared" si="59"/>
        <v>0</v>
      </c>
      <c r="CS32" s="22">
        <f t="shared" si="352"/>
        <v>0</v>
      </c>
      <c r="CT32" s="22"/>
      <c r="CU32" s="22">
        <f t="shared" si="61"/>
        <v>0</v>
      </c>
      <c r="CV32" s="22">
        <f t="shared" si="353"/>
        <v>0</v>
      </c>
      <c r="CW32" s="22"/>
      <c r="CX32" s="22">
        <f t="shared" si="63"/>
        <v>0</v>
      </c>
      <c r="CY32" s="22">
        <f t="shared" si="354"/>
        <v>0</v>
      </c>
      <c r="CZ32" s="22"/>
      <c r="DA32" s="22">
        <f t="shared" si="65"/>
        <v>0</v>
      </c>
      <c r="DB32" s="22">
        <f t="shared" si="355"/>
        <v>0</v>
      </c>
      <c r="DC32" s="22"/>
      <c r="DD32" s="22">
        <f t="shared" si="67"/>
        <v>0</v>
      </c>
      <c r="DE32" s="22">
        <f t="shared" si="356"/>
        <v>0</v>
      </c>
      <c r="DF32" s="22"/>
      <c r="DG32" s="22">
        <f t="shared" si="69"/>
        <v>0</v>
      </c>
      <c r="DH32" s="22">
        <f t="shared" si="357"/>
        <v>0</v>
      </c>
      <c r="DI32" s="22"/>
      <c r="DJ32" s="22">
        <f t="shared" si="71"/>
        <v>0</v>
      </c>
      <c r="DK32" s="22">
        <f t="shared" si="358"/>
        <v>0</v>
      </c>
      <c r="DL32" s="22"/>
      <c r="DM32" s="22">
        <f t="shared" si="73"/>
        <v>0</v>
      </c>
      <c r="DN32" s="22">
        <f t="shared" si="359"/>
        <v>0</v>
      </c>
      <c r="DO32" s="22"/>
      <c r="DP32" s="22">
        <f t="shared" si="75"/>
        <v>0</v>
      </c>
      <c r="DQ32" s="22">
        <f t="shared" si="360"/>
        <v>0</v>
      </c>
      <c r="DR32" s="22"/>
      <c r="DS32" s="22">
        <f t="shared" si="77"/>
        <v>0</v>
      </c>
      <c r="DT32" s="22">
        <f t="shared" si="361"/>
        <v>0</v>
      </c>
      <c r="DU32" s="22"/>
      <c r="DV32" s="22">
        <f t="shared" si="79"/>
        <v>0</v>
      </c>
      <c r="DW32" s="22">
        <f t="shared" si="362"/>
        <v>0</v>
      </c>
      <c r="DX32" s="22"/>
      <c r="DY32" s="22">
        <f t="shared" si="81"/>
        <v>0</v>
      </c>
      <c r="DZ32" s="22">
        <f t="shared" si="363"/>
        <v>0</v>
      </c>
      <c r="EA32" s="22"/>
      <c r="EB32" s="22">
        <f t="shared" si="83"/>
        <v>0</v>
      </c>
      <c r="EC32" s="22">
        <f t="shared" si="364"/>
        <v>0</v>
      </c>
      <c r="ED32" s="22"/>
      <c r="EE32" s="22">
        <f t="shared" si="85"/>
        <v>0</v>
      </c>
      <c r="EF32" s="22">
        <f t="shared" si="365"/>
        <v>0</v>
      </c>
      <c r="EG32" s="22">
        <v>1</v>
      </c>
      <c r="EH32" s="22">
        <f t="shared" si="87"/>
        <v>1</v>
      </c>
      <c r="EI32" s="22">
        <f t="shared" si="366"/>
        <v>0</v>
      </c>
      <c r="EJ32" s="22"/>
      <c r="EK32" s="22">
        <f t="shared" si="89"/>
        <v>0</v>
      </c>
      <c r="EL32" s="22">
        <f t="shared" si="367"/>
        <v>0</v>
      </c>
      <c r="EM32" s="22"/>
      <c r="EN32" s="22">
        <f t="shared" si="91"/>
        <v>0</v>
      </c>
      <c r="EO32" s="22">
        <f t="shared" si="368"/>
        <v>0</v>
      </c>
    </row>
    <row r="33" spans="1:145">
      <c r="A33" s="15">
        <v>62</v>
      </c>
      <c r="B33" s="15" t="s">
        <v>400</v>
      </c>
      <c r="C33" s="16" t="s">
        <v>401</v>
      </c>
      <c r="D33" s="15" t="s">
        <v>402</v>
      </c>
      <c r="E33" s="15" t="s">
        <v>399</v>
      </c>
      <c r="F33" s="19">
        <f t="shared" si="0"/>
        <v>33</v>
      </c>
      <c r="G33" s="20"/>
      <c r="H33" s="21"/>
      <c r="I33" s="22">
        <f t="shared" si="1"/>
        <v>0</v>
      </c>
      <c r="J33" s="22">
        <f t="shared" si="323"/>
        <v>0</v>
      </c>
      <c r="K33" s="22"/>
      <c r="L33" s="22">
        <f t="shared" si="3"/>
        <v>0</v>
      </c>
      <c r="M33" s="22">
        <f t="shared" si="324"/>
        <v>0</v>
      </c>
      <c r="N33" s="22"/>
      <c r="O33" s="22">
        <f t="shared" si="5"/>
        <v>0</v>
      </c>
      <c r="P33" s="22">
        <f t="shared" si="325"/>
        <v>0</v>
      </c>
      <c r="Q33" s="22"/>
      <c r="R33" s="22">
        <f t="shared" si="7"/>
        <v>0</v>
      </c>
      <c r="S33" s="22">
        <f t="shared" si="326"/>
        <v>0</v>
      </c>
      <c r="T33" s="22"/>
      <c r="U33" s="22">
        <f t="shared" si="9"/>
        <v>0</v>
      </c>
      <c r="V33" s="22">
        <f t="shared" si="327"/>
        <v>0</v>
      </c>
      <c r="W33" s="22"/>
      <c r="X33" s="22">
        <f t="shared" si="11"/>
        <v>0</v>
      </c>
      <c r="Y33" s="22">
        <f t="shared" si="328"/>
        <v>0</v>
      </c>
      <c r="Z33" s="22"/>
      <c r="AA33" s="22">
        <f t="shared" si="13"/>
        <v>0</v>
      </c>
      <c r="AB33" s="22">
        <f t="shared" si="329"/>
        <v>0</v>
      </c>
      <c r="AC33" s="22"/>
      <c r="AD33" s="22">
        <f t="shared" si="15"/>
        <v>0</v>
      </c>
      <c r="AE33" s="22">
        <f t="shared" si="330"/>
        <v>0</v>
      </c>
      <c r="AF33" s="22"/>
      <c r="AG33" s="22">
        <f t="shared" si="17"/>
        <v>0</v>
      </c>
      <c r="AH33" s="22">
        <f t="shared" si="331"/>
        <v>0</v>
      </c>
      <c r="AI33" s="22"/>
      <c r="AJ33" s="22">
        <f t="shared" si="19"/>
        <v>0</v>
      </c>
      <c r="AK33" s="22">
        <f t="shared" si="332"/>
        <v>0</v>
      </c>
      <c r="AL33" s="22"/>
      <c r="AM33" s="22">
        <f t="shared" si="21"/>
        <v>0</v>
      </c>
      <c r="AN33" s="22">
        <f t="shared" si="333"/>
        <v>0</v>
      </c>
      <c r="AO33" s="22"/>
      <c r="AP33" s="22">
        <f t="shared" si="23"/>
        <v>0</v>
      </c>
      <c r="AQ33" s="22">
        <f t="shared" si="334"/>
        <v>0</v>
      </c>
      <c r="AR33" s="22">
        <v>3</v>
      </c>
      <c r="AS33" s="22">
        <f t="shared" si="25"/>
        <v>21</v>
      </c>
      <c r="AT33" s="22">
        <f t="shared" si="335"/>
        <v>0</v>
      </c>
      <c r="AU33" s="22"/>
      <c r="AV33" s="22">
        <f t="shared" si="27"/>
        <v>0</v>
      </c>
      <c r="AW33" s="22">
        <f t="shared" si="336"/>
        <v>0</v>
      </c>
      <c r="AX33" s="22"/>
      <c r="AY33" s="22">
        <f t="shared" si="29"/>
        <v>0</v>
      </c>
      <c r="AZ33" s="22">
        <f t="shared" si="337"/>
        <v>0</v>
      </c>
      <c r="BA33" s="22"/>
      <c r="BB33" s="22">
        <f t="shared" si="31"/>
        <v>0</v>
      </c>
      <c r="BC33" s="22">
        <f t="shared" si="338"/>
        <v>0</v>
      </c>
      <c r="BD33" s="22">
        <v>6</v>
      </c>
      <c r="BE33" s="22">
        <f t="shared" si="33"/>
        <v>6</v>
      </c>
      <c r="BF33" s="22">
        <f t="shared" si="339"/>
        <v>0</v>
      </c>
      <c r="BG33" s="22"/>
      <c r="BH33" s="22">
        <f t="shared" si="35"/>
        <v>0</v>
      </c>
      <c r="BI33" s="22">
        <f t="shared" si="340"/>
        <v>0</v>
      </c>
      <c r="BJ33" s="22"/>
      <c r="BK33" s="22">
        <f t="shared" si="37"/>
        <v>0</v>
      </c>
      <c r="BL33" s="22">
        <f t="shared" si="341"/>
        <v>0</v>
      </c>
      <c r="BM33" s="22"/>
      <c r="BN33" s="22">
        <f t="shared" si="39"/>
        <v>0</v>
      </c>
      <c r="BO33" s="22">
        <f t="shared" si="342"/>
        <v>0</v>
      </c>
      <c r="BP33" s="22"/>
      <c r="BQ33" s="22">
        <f t="shared" si="41"/>
        <v>0</v>
      </c>
      <c r="BR33" s="22">
        <f t="shared" si="343"/>
        <v>0</v>
      </c>
      <c r="BS33" s="22">
        <v>3</v>
      </c>
      <c r="BT33" s="22">
        <f t="shared" si="43"/>
        <v>3</v>
      </c>
      <c r="BU33" s="22">
        <f t="shared" si="344"/>
        <v>0</v>
      </c>
      <c r="BV33" s="22"/>
      <c r="BW33" s="22">
        <f t="shared" si="45"/>
        <v>0</v>
      </c>
      <c r="BX33" s="22">
        <f t="shared" si="345"/>
        <v>0</v>
      </c>
      <c r="BY33" s="22"/>
      <c r="BZ33" s="22">
        <f t="shared" si="47"/>
        <v>0</v>
      </c>
      <c r="CA33" s="22">
        <f t="shared" si="346"/>
        <v>0</v>
      </c>
      <c r="CB33" s="22"/>
      <c r="CC33" s="22">
        <f t="shared" si="49"/>
        <v>0</v>
      </c>
      <c r="CD33" s="22">
        <f t="shared" si="347"/>
        <v>0</v>
      </c>
      <c r="CE33" s="22"/>
      <c r="CF33" s="22">
        <f t="shared" si="51"/>
        <v>0</v>
      </c>
      <c r="CG33" s="22">
        <f t="shared" si="348"/>
        <v>0</v>
      </c>
      <c r="CH33" s="22"/>
      <c r="CI33" s="22">
        <f t="shared" si="53"/>
        <v>0</v>
      </c>
      <c r="CJ33" s="22">
        <f t="shared" si="349"/>
        <v>0</v>
      </c>
      <c r="CK33" s="22"/>
      <c r="CL33" s="22">
        <f t="shared" si="55"/>
        <v>0</v>
      </c>
      <c r="CM33" s="22">
        <f t="shared" si="350"/>
        <v>0</v>
      </c>
      <c r="CN33" s="22"/>
      <c r="CO33" s="22">
        <f t="shared" si="57"/>
        <v>0</v>
      </c>
      <c r="CP33" s="22">
        <f t="shared" si="351"/>
        <v>0</v>
      </c>
      <c r="CQ33" s="22"/>
      <c r="CR33" s="22">
        <f t="shared" si="59"/>
        <v>0</v>
      </c>
      <c r="CS33" s="22">
        <f t="shared" si="352"/>
        <v>0</v>
      </c>
      <c r="CT33" s="22">
        <v>3</v>
      </c>
      <c r="CU33" s="22">
        <f t="shared" si="61"/>
        <v>3</v>
      </c>
      <c r="CV33" s="22">
        <f t="shared" si="353"/>
        <v>0</v>
      </c>
      <c r="CW33" s="22"/>
      <c r="CX33" s="22">
        <f t="shared" si="63"/>
        <v>0</v>
      </c>
      <c r="CY33" s="22">
        <f t="shared" si="354"/>
        <v>0</v>
      </c>
      <c r="CZ33" s="22"/>
      <c r="DA33" s="22">
        <f t="shared" si="65"/>
        <v>0</v>
      </c>
      <c r="DB33" s="22">
        <f t="shared" si="355"/>
        <v>0</v>
      </c>
      <c r="DC33" s="22"/>
      <c r="DD33" s="22">
        <f t="shared" si="67"/>
        <v>0</v>
      </c>
      <c r="DE33" s="22">
        <f t="shared" si="356"/>
        <v>0</v>
      </c>
      <c r="DF33" s="22"/>
      <c r="DG33" s="22">
        <f t="shared" si="69"/>
        <v>0</v>
      </c>
      <c r="DH33" s="22">
        <f t="shared" si="357"/>
        <v>0</v>
      </c>
      <c r="DI33" s="22"/>
      <c r="DJ33" s="22">
        <f t="shared" si="71"/>
        <v>0</v>
      </c>
      <c r="DK33" s="22">
        <f t="shared" si="358"/>
        <v>0</v>
      </c>
      <c r="DL33" s="22"/>
      <c r="DM33" s="22">
        <f t="shared" si="73"/>
        <v>0</v>
      </c>
      <c r="DN33" s="22">
        <f t="shared" si="359"/>
        <v>0</v>
      </c>
      <c r="DO33" s="22"/>
      <c r="DP33" s="22">
        <f t="shared" si="75"/>
        <v>0</v>
      </c>
      <c r="DQ33" s="22">
        <f t="shared" si="360"/>
        <v>0</v>
      </c>
      <c r="DR33" s="22"/>
      <c r="DS33" s="22">
        <f t="shared" si="77"/>
        <v>0</v>
      </c>
      <c r="DT33" s="22">
        <f t="shared" si="361"/>
        <v>0</v>
      </c>
      <c r="DU33" s="22"/>
      <c r="DV33" s="22">
        <f t="shared" si="79"/>
        <v>0</v>
      </c>
      <c r="DW33" s="22">
        <f t="shared" si="362"/>
        <v>0</v>
      </c>
      <c r="DX33" s="22"/>
      <c r="DY33" s="22">
        <f t="shared" si="81"/>
        <v>0</v>
      </c>
      <c r="DZ33" s="22">
        <f t="shared" si="363"/>
        <v>0</v>
      </c>
      <c r="EA33" s="22"/>
      <c r="EB33" s="22">
        <f t="shared" si="83"/>
        <v>0</v>
      </c>
      <c r="EC33" s="22">
        <f t="shared" si="364"/>
        <v>0</v>
      </c>
      <c r="ED33" s="22"/>
      <c r="EE33" s="22">
        <f t="shared" si="85"/>
        <v>0</v>
      </c>
      <c r="EF33" s="22">
        <f t="shared" si="365"/>
        <v>0</v>
      </c>
      <c r="EG33" s="22"/>
      <c r="EH33" s="22">
        <f t="shared" si="87"/>
        <v>0</v>
      </c>
      <c r="EI33" s="22">
        <f t="shared" si="366"/>
        <v>0</v>
      </c>
      <c r="EJ33" s="22"/>
      <c r="EK33" s="22">
        <f t="shared" si="89"/>
        <v>0</v>
      </c>
      <c r="EL33" s="22">
        <f t="shared" si="367"/>
        <v>0</v>
      </c>
      <c r="EM33" s="22"/>
      <c r="EN33" s="22">
        <f t="shared" si="91"/>
        <v>0</v>
      </c>
      <c r="EO33" s="22">
        <f t="shared" si="368"/>
        <v>0</v>
      </c>
    </row>
    <row r="34" spans="1:145">
      <c r="A34" s="15">
        <v>63</v>
      </c>
      <c r="B34" s="15" t="s">
        <v>445</v>
      </c>
      <c r="C34" s="16" t="s">
        <v>414</v>
      </c>
      <c r="D34" s="16" t="s">
        <v>446</v>
      </c>
      <c r="E34" s="15" t="s">
        <v>416</v>
      </c>
      <c r="F34" s="19">
        <f t="shared" si="0"/>
        <v>1</v>
      </c>
      <c r="G34" s="20"/>
      <c r="H34" s="21"/>
      <c r="I34" s="22">
        <f t="shared" si="1"/>
        <v>0</v>
      </c>
      <c r="J34" s="22">
        <f t="shared" si="323"/>
        <v>0</v>
      </c>
      <c r="K34" s="22"/>
      <c r="L34" s="22">
        <f t="shared" si="3"/>
        <v>0</v>
      </c>
      <c r="M34" s="22">
        <f t="shared" si="324"/>
        <v>0</v>
      </c>
      <c r="N34" s="22"/>
      <c r="O34" s="22">
        <f t="shared" si="5"/>
        <v>0</v>
      </c>
      <c r="P34" s="22">
        <f t="shared" si="325"/>
        <v>0</v>
      </c>
      <c r="Q34" s="22"/>
      <c r="R34" s="22">
        <f t="shared" si="7"/>
        <v>0</v>
      </c>
      <c r="S34" s="22">
        <f t="shared" si="326"/>
        <v>0</v>
      </c>
      <c r="T34" s="22"/>
      <c r="U34" s="22">
        <f t="shared" si="9"/>
        <v>0</v>
      </c>
      <c r="V34" s="22">
        <f t="shared" si="327"/>
        <v>0</v>
      </c>
      <c r="W34" s="22"/>
      <c r="X34" s="22">
        <f t="shared" si="11"/>
        <v>0</v>
      </c>
      <c r="Y34" s="22">
        <f t="shared" si="328"/>
        <v>0</v>
      </c>
      <c r="Z34" s="22"/>
      <c r="AA34" s="22">
        <f t="shared" si="13"/>
        <v>0</v>
      </c>
      <c r="AB34" s="22">
        <f t="shared" si="329"/>
        <v>0</v>
      </c>
      <c r="AC34" s="22"/>
      <c r="AD34" s="22">
        <f t="shared" si="15"/>
        <v>0</v>
      </c>
      <c r="AE34" s="22">
        <f t="shared" si="330"/>
        <v>0</v>
      </c>
      <c r="AF34" s="22"/>
      <c r="AG34" s="22">
        <f t="shared" si="17"/>
        <v>0</v>
      </c>
      <c r="AH34" s="22">
        <f t="shared" si="331"/>
        <v>0</v>
      </c>
      <c r="AI34" s="22"/>
      <c r="AJ34" s="22">
        <f t="shared" si="19"/>
        <v>0</v>
      </c>
      <c r="AK34" s="22">
        <f t="shared" si="332"/>
        <v>0</v>
      </c>
      <c r="AL34" s="22"/>
      <c r="AM34" s="22">
        <f t="shared" si="21"/>
        <v>0</v>
      </c>
      <c r="AN34" s="22">
        <f t="shared" si="333"/>
        <v>0</v>
      </c>
      <c r="AO34" s="22"/>
      <c r="AP34" s="22">
        <f t="shared" si="23"/>
        <v>0</v>
      </c>
      <c r="AQ34" s="22">
        <f t="shared" si="334"/>
        <v>0</v>
      </c>
      <c r="AR34" s="22"/>
      <c r="AS34" s="22">
        <f t="shared" si="25"/>
        <v>0</v>
      </c>
      <c r="AT34" s="22">
        <f t="shared" si="335"/>
        <v>0</v>
      </c>
      <c r="AU34" s="22">
        <v>1</v>
      </c>
      <c r="AV34" s="22">
        <f t="shared" si="27"/>
        <v>1</v>
      </c>
      <c r="AW34" s="22">
        <f t="shared" si="336"/>
        <v>0</v>
      </c>
      <c r="AX34" s="22"/>
      <c r="AY34" s="22">
        <f t="shared" si="29"/>
        <v>0</v>
      </c>
      <c r="AZ34" s="22">
        <f t="shared" si="337"/>
        <v>0</v>
      </c>
      <c r="BA34" s="22"/>
      <c r="BB34" s="22">
        <f t="shared" si="31"/>
        <v>0</v>
      </c>
      <c r="BC34" s="22">
        <f t="shared" si="338"/>
        <v>0</v>
      </c>
      <c r="BD34" s="22"/>
      <c r="BE34" s="22">
        <f t="shared" si="33"/>
        <v>0</v>
      </c>
      <c r="BF34" s="22">
        <f t="shared" si="339"/>
        <v>0</v>
      </c>
      <c r="BG34" s="22"/>
      <c r="BH34" s="22">
        <f t="shared" si="35"/>
        <v>0</v>
      </c>
      <c r="BI34" s="22">
        <f t="shared" si="340"/>
        <v>0</v>
      </c>
      <c r="BJ34" s="22"/>
      <c r="BK34" s="22">
        <f t="shared" si="37"/>
        <v>0</v>
      </c>
      <c r="BL34" s="22">
        <f t="shared" si="341"/>
        <v>0</v>
      </c>
      <c r="BM34" s="22"/>
      <c r="BN34" s="22">
        <f t="shared" si="39"/>
        <v>0</v>
      </c>
      <c r="BO34" s="22">
        <f t="shared" si="342"/>
        <v>0</v>
      </c>
      <c r="BP34" s="22"/>
      <c r="BQ34" s="22">
        <f t="shared" si="41"/>
        <v>0</v>
      </c>
      <c r="BR34" s="22">
        <f t="shared" si="343"/>
        <v>0</v>
      </c>
      <c r="BS34" s="22"/>
      <c r="BT34" s="22">
        <f t="shared" si="43"/>
        <v>0</v>
      </c>
      <c r="BU34" s="22">
        <f t="shared" si="344"/>
        <v>0</v>
      </c>
      <c r="BV34" s="22"/>
      <c r="BW34" s="22">
        <f t="shared" si="45"/>
        <v>0</v>
      </c>
      <c r="BX34" s="22">
        <f t="shared" si="345"/>
        <v>0</v>
      </c>
      <c r="BY34" s="22"/>
      <c r="BZ34" s="22">
        <f t="shared" si="47"/>
        <v>0</v>
      </c>
      <c r="CA34" s="22">
        <f t="shared" si="346"/>
        <v>0</v>
      </c>
      <c r="CB34" s="22"/>
      <c r="CC34" s="22">
        <f t="shared" si="49"/>
        <v>0</v>
      </c>
      <c r="CD34" s="22">
        <f t="shared" si="347"/>
        <v>0</v>
      </c>
      <c r="CE34" s="22"/>
      <c r="CF34" s="22">
        <f t="shared" si="51"/>
        <v>0</v>
      </c>
      <c r="CG34" s="22">
        <f t="shared" si="348"/>
        <v>0</v>
      </c>
      <c r="CH34" s="22"/>
      <c r="CI34" s="22">
        <f t="shared" si="53"/>
        <v>0</v>
      </c>
      <c r="CJ34" s="22">
        <f t="shared" si="349"/>
        <v>0</v>
      </c>
      <c r="CK34" s="22"/>
      <c r="CL34" s="22">
        <f t="shared" si="55"/>
        <v>0</v>
      </c>
      <c r="CM34" s="22">
        <f t="shared" si="350"/>
        <v>0</v>
      </c>
      <c r="CN34" s="22"/>
      <c r="CO34" s="22">
        <f t="shared" si="57"/>
        <v>0</v>
      </c>
      <c r="CP34" s="22">
        <f t="shared" si="351"/>
        <v>0</v>
      </c>
      <c r="CQ34" s="22"/>
      <c r="CR34" s="22">
        <f t="shared" si="59"/>
        <v>0</v>
      </c>
      <c r="CS34" s="22">
        <f t="shared" si="352"/>
        <v>0</v>
      </c>
      <c r="CT34" s="22"/>
      <c r="CU34" s="22">
        <f t="shared" si="61"/>
        <v>0</v>
      </c>
      <c r="CV34" s="22">
        <f t="shared" si="353"/>
        <v>0</v>
      </c>
      <c r="CW34" s="22"/>
      <c r="CX34" s="22">
        <f t="shared" si="63"/>
        <v>0</v>
      </c>
      <c r="CY34" s="22">
        <f t="shared" si="354"/>
        <v>0</v>
      </c>
      <c r="CZ34" s="22"/>
      <c r="DA34" s="22">
        <f t="shared" si="65"/>
        <v>0</v>
      </c>
      <c r="DB34" s="22">
        <f t="shared" si="355"/>
        <v>0</v>
      </c>
      <c r="DC34" s="22"/>
      <c r="DD34" s="22">
        <f t="shared" si="67"/>
        <v>0</v>
      </c>
      <c r="DE34" s="22">
        <f t="shared" si="356"/>
        <v>0</v>
      </c>
      <c r="DF34" s="22"/>
      <c r="DG34" s="22">
        <f t="shared" si="69"/>
        <v>0</v>
      </c>
      <c r="DH34" s="22">
        <f t="shared" si="357"/>
        <v>0</v>
      </c>
      <c r="DI34" s="22"/>
      <c r="DJ34" s="22">
        <f t="shared" si="71"/>
        <v>0</v>
      </c>
      <c r="DK34" s="22">
        <f t="shared" si="358"/>
        <v>0</v>
      </c>
      <c r="DL34" s="22"/>
      <c r="DM34" s="22">
        <f t="shared" si="73"/>
        <v>0</v>
      </c>
      <c r="DN34" s="22">
        <f t="shared" si="359"/>
        <v>0</v>
      </c>
      <c r="DO34" s="22"/>
      <c r="DP34" s="22">
        <f t="shared" si="75"/>
        <v>0</v>
      </c>
      <c r="DQ34" s="22">
        <f t="shared" si="360"/>
        <v>0</v>
      </c>
      <c r="DR34" s="22"/>
      <c r="DS34" s="22">
        <f t="shared" si="77"/>
        <v>0</v>
      </c>
      <c r="DT34" s="22">
        <f t="shared" si="361"/>
        <v>0</v>
      </c>
      <c r="DU34" s="22"/>
      <c r="DV34" s="22">
        <f t="shared" si="79"/>
        <v>0</v>
      </c>
      <c r="DW34" s="22">
        <f t="shared" si="362"/>
        <v>0</v>
      </c>
      <c r="DX34" s="22"/>
      <c r="DY34" s="22">
        <f t="shared" si="81"/>
        <v>0</v>
      </c>
      <c r="DZ34" s="22">
        <f t="shared" si="363"/>
        <v>0</v>
      </c>
      <c r="EA34" s="22"/>
      <c r="EB34" s="22">
        <f t="shared" si="83"/>
        <v>0</v>
      </c>
      <c r="EC34" s="22">
        <f t="shared" si="364"/>
        <v>0</v>
      </c>
      <c r="ED34" s="22"/>
      <c r="EE34" s="22">
        <f t="shared" si="85"/>
        <v>0</v>
      </c>
      <c r="EF34" s="22">
        <f t="shared" si="365"/>
        <v>0</v>
      </c>
      <c r="EG34" s="22"/>
      <c r="EH34" s="22">
        <f t="shared" si="87"/>
        <v>0</v>
      </c>
      <c r="EI34" s="22">
        <f t="shared" si="366"/>
        <v>0</v>
      </c>
      <c r="EJ34" s="22"/>
      <c r="EK34" s="22">
        <f t="shared" si="89"/>
        <v>0</v>
      </c>
      <c r="EL34" s="22">
        <f t="shared" si="367"/>
        <v>0</v>
      </c>
      <c r="EM34" s="22"/>
      <c r="EN34" s="22">
        <f t="shared" si="91"/>
        <v>0</v>
      </c>
      <c r="EO34" s="22">
        <f t="shared" si="368"/>
        <v>0</v>
      </c>
    </row>
    <row r="35" spans="1:145">
      <c r="A35" s="15">
        <v>64</v>
      </c>
      <c r="B35" s="15" t="s">
        <v>447</v>
      </c>
      <c r="C35" s="16" t="s">
        <v>374</v>
      </c>
      <c r="D35" s="15" t="s">
        <v>448</v>
      </c>
      <c r="E35" s="15" t="s">
        <v>376</v>
      </c>
      <c r="F35" s="19">
        <f t="shared" si="0"/>
        <v>1</v>
      </c>
      <c r="G35" s="20"/>
      <c r="H35" s="21"/>
      <c r="I35" s="22">
        <f t="shared" si="1"/>
        <v>0</v>
      </c>
      <c r="J35" s="22">
        <f>$G35*H35</f>
        <v>0</v>
      </c>
      <c r="K35" s="22"/>
      <c r="L35" s="22">
        <f t="shared" si="3"/>
        <v>0</v>
      </c>
      <c r="M35" s="22">
        <f>$G35*K35</f>
        <v>0</v>
      </c>
      <c r="N35" s="22"/>
      <c r="O35" s="22">
        <f t="shared" si="5"/>
        <v>0</v>
      </c>
      <c r="P35" s="22">
        <f>$G35*N35</f>
        <v>0</v>
      </c>
      <c r="Q35" s="22"/>
      <c r="R35" s="22">
        <f t="shared" si="7"/>
        <v>0</v>
      </c>
      <c r="S35" s="22">
        <f>$G35*Q35</f>
        <v>0</v>
      </c>
      <c r="T35" s="22"/>
      <c r="U35" s="22">
        <f t="shared" si="9"/>
        <v>0</v>
      </c>
      <c r="V35" s="22">
        <f>$G35*T35</f>
        <v>0</v>
      </c>
      <c r="W35" s="22"/>
      <c r="X35" s="22">
        <f t="shared" si="11"/>
        <v>0</v>
      </c>
      <c r="Y35" s="22">
        <f>$G35*W35</f>
        <v>0</v>
      </c>
      <c r="Z35" s="22"/>
      <c r="AA35" s="22">
        <f t="shared" si="13"/>
        <v>0</v>
      </c>
      <c r="AB35" s="22">
        <f>$G35*Z35</f>
        <v>0</v>
      </c>
      <c r="AC35" s="22"/>
      <c r="AD35" s="22">
        <f t="shared" si="15"/>
        <v>0</v>
      </c>
      <c r="AE35" s="22">
        <f>$G35*AC35</f>
        <v>0</v>
      </c>
      <c r="AF35" s="22"/>
      <c r="AG35" s="22">
        <f t="shared" si="17"/>
        <v>0</v>
      </c>
      <c r="AH35" s="22">
        <f>$G35*AF35</f>
        <v>0</v>
      </c>
      <c r="AI35" s="22"/>
      <c r="AJ35" s="22">
        <f t="shared" si="19"/>
        <v>0</v>
      </c>
      <c r="AK35" s="22">
        <f>$G35*AI35</f>
        <v>0</v>
      </c>
      <c r="AL35" s="22"/>
      <c r="AM35" s="22">
        <f t="shared" si="21"/>
        <v>0</v>
      </c>
      <c r="AN35" s="22">
        <f>$G35*AL35</f>
        <v>0</v>
      </c>
      <c r="AO35" s="22"/>
      <c r="AP35" s="22">
        <f t="shared" si="23"/>
        <v>0</v>
      </c>
      <c r="AQ35" s="22">
        <f>$G35*AO35</f>
        <v>0</v>
      </c>
      <c r="AR35" s="22"/>
      <c r="AS35" s="22">
        <f t="shared" si="25"/>
        <v>0</v>
      </c>
      <c r="AT35" s="22">
        <f>$G35*AR35</f>
        <v>0</v>
      </c>
      <c r="AU35" s="22">
        <v>1</v>
      </c>
      <c r="AV35" s="22">
        <f t="shared" si="27"/>
        <v>1</v>
      </c>
      <c r="AW35" s="22">
        <f>$G35*AU35</f>
        <v>0</v>
      </c>
      <c r="AX35" s="22"/>
      <c r="AY35" s="22">
        <f t="shared" si="29"/>
        <v>0</v>
      </c>
      <c r="AZ35" s="22">
        <f>$G35*AX35</f>
        <v>0</v>
      </c>
      <c r="BA35" s="22"/>
      <c r="BB35" s="22">
        <f t="shared" si="31"/>
        <v>0</v>
      </c>
      <c r="BC35" s="22">
        <f>$G35*BA35</f>
        <v>0</v>
      </c>
      <c r="BD35" s="22"/>
      <c r="BE35" s="22">
        <f t="shared" si="33"/>
        <v>0</v>
      </c>
      <c r="BF35" s="22">
        <f>$G35*BD35</f>
        <v>0</v>
      </c>
      <c r="BG35" s="22"/>
      <c r="BH35" s="22">
        <f t="shared" si="35"/>
        <v>0</v>
      </c>
      <c r="BI35" s="22">
        <f>$G35*BG35</f>
        <v>0</v>
      </c>
      <c r="BJ35" s="22"/>
      <c r="BK35" s="22">
        <f t="shared" si="37"/>
        <v>0</v>
      </c>
      <c r="BL35" s="22">
        <f>$G35*BJ35</f>
        <v>0</v>
      </c>
      <c r="BM35" s="22"/>
      <c r="BN35" s="22">
        <f t="shared" si="39"/>
        <v>0</v>
      </c>
      <c r="BO35" s="22">
        <f>$G35*BM35</f>
        <v>0</v>
      </c>
      <c r="BP35" s="22"/>
      <c r="BQ35" s="22">
        <f t="shared" si="41"/>
        <v>0</v>
      </c>
      <c r="BR35" s="22">
        <f>$G35*BP35</f>
        <v>0</v>
      </c>
      <c r="BS35" s="22"/>
      <c r="BT35" s="22">
        <f t="shared" si="43"/>
        <v>0</v>
      </c>
      <c r="BU35" s="22">
        <f>$G35*BS35</f>
        <v>0</v>
      </c>
      <c r="BV35" s="22"/>
      <c r="BW35" s="22">
        <f t="shared" si="45"/>
        <v>0</v>
      </c>
      <c r="BX35" s="22">
        <f>$G35*BV35</f>
        <v>0</v>
      </c>
      <c r="BY35" s="22"/>
      <c r="BZ35" s="22">
        <f t="shared" si="47"/>
        <v>0</v>
      </c>
      <c r="CA35" s="22">
        <f>$G35*BY35</f>
        <v>0</v>
      </c>
      <c r="CB35" s="22"/>
      <c r="CC35" s="22">
        <f t="shared" si="49"/>
        <v>0</v>
      </c>
      <c r="CD35" s="22">
        <f>$G35*CB35</f>
        <v>0</v>
      </c>
      <c r="CE35" s="22"/>
      <c r="CF35" s="22">
        <f t="shared" si="51"/>
        <v>0</v>
      </c>
      <c r="CG35" s="22">
        <f>$G35*CE35</f>
        <v>0</v>
      </c>
      <c r="CH35" s="22"/>
      <c r="CI35" s="22">
        <f t="shared" si="53"/>
        <v>0</v>
      </c>
      <c r="CJ35" s="22">
        <f>$G35*CH35</f>
        <v>0</v>
      </c>
      <c r="CK35" s="22"/>
      <c r="CL35" s="22">
        <f t="shared" si="55"/>
        <v>0</v>
      </c>
      <c r="CM35" s="22">
        <f>$G35*CK35</f>
        <v>0</v>
      </c>
      <c r="CN35" s="22"/>
      <c r="CO35" s="22">
        <f t="shared" si="57"/>
        <v>0</v>
      </c>
      <c r="CP35" s="22">
        <f>$G35*CN35</f>
        <v>0</v>
      </c>
      <c r="CQ35" s="22"/>
      <c r="CR35" s="22">
        <f t="shared" si="59"/>
        <v>0</v>
      </c>
      <c r="CS35" s="22">
        <f>$G35*CQ35</f>
        <v>0</v>
      </c>
      <c r="CT35" s="22"/>
      <c r="CU35" s="22">
        <f t="shared" si="61"/>
        <v>0</v>
      </c>
      <c r="CV35" s="22">
        <f>$G35*CT35</f>
        <v>0</v>
      </c>
      <c r="CW35" s="22"/>
      <c r="CX35" s="22">
        <f t="shared" si="63"/>
        <v>0</v>
      </c>
      <c r="CY35" s="22">
        <f>$G35*CW35</f>
        <v>0</v>
      </c>
      <c r="CZ35" s="22"/>
      <c r="DA35" s="22">
        <f t="shared" si="65"/>
        <v>0</v>
      </c>
      <c r="DB35" s="22">
        <f>$G35*CZ35</f>
        <v>0</v>
      </c>
      <c r="DC35" s="22"/>
      <c r="DD35" s="22">
        <f t="shared" si="67"/>
        <v>0</v>
      </c>
      <c r="DE35" s="22">
        <f>$G35*DC35</f>
        <v>0</v>
      </c>
      <c r="DF35" s="22"/>
      <c r="DG35" s="22">
        <f t="shared" si="69"/>
        <v>0</v>
      </c>
      <c r="DH35" s="22">
        <f>$G35*DF35</f>
        <v>0</v>
      </c>
      <c r="DI35" s="22"/>
      <c r="DJ35" s="22">
        <f t="shared" si="71"/>
        <v>0</v>
      </c>
      <c r="DK35" s="22">
        <f>$G35*DI35</f>
        <v>0</v>
      </c>
      <c r="DL35" s="22"/>
      <c r="DM35" s="22">
        <f t="shared" si="73"/>
        <v>0</v>
      </c>
      <c r="DN35" s="22">
        <f>$G35*DL35</f>
        <v>0</v>
      </c>
      <c r="DO35" s="22"/>
      <c r="DP35" s="22">
        <f t="shared" si="75"/>
        <v>0</v>
      </c>
      <c r="DQ35" s="22">
        <f>$G35*DO35</f>
        <v>0</v>
      </c>
      <c r="DR35" s="22"/>
      <c r="DS35" s="22">
        <f t="shared" si="77"/>
        <v>0</v>
      </c>
      <c r="DT35" s="22">
        <f>$G35*DR35</f>
        <v>0</v>
      </c>
      <c r="DU35" s="22"/>
      <c r="DV35" s="22">
        <f t="shared" si="79"/>
        <v>0</v>
      </c>
      <c r="DW35" s="22">
        <f>$G35*DU35</f>
        <v>0</v>
      </c>
      <c r="DX35" s="22"/>
      <c r="DY35" s="22">
        <f t="shared" si="81"/>
        <v>0</v>
      </c>
      <c r="DZ35" s="22">
        <f>$G35*DX35</f>
        <v>0</v>
      </c>
      <c r="EA35" s="22"/>
      <c r="EB35" s="22">
        <f t="shared" si="83"/>
        <v>0</v>
      </c>
      <c r="EC35" s="22">
        <f>$G35*EA35</f>
        <v>0</v>
      </c>
      <c r="ED35" s="22"/>
      <c r="EE35" s="22">
        <f t="shared" si="85"/>
        <v>0</v>
      </c>
      <c r="EF35" s="22">
        <f>$G35*ED35</f>
        <v>0</v>
      </c>
      <c r="EG35" s="22"/>
      <c r="EH35" s="22">
        <f t="shared" si="87"/>
        <v>0</v>
      </c>
      <c r="EI35" s="22">
        <f>$G35*EG35</f>
        <v>0</v>
      </c>
      <c r="EJ35" s="22"/>
      <c r="EK35" s="22">
        <f t="shared" si="89"/>
        <v>0</v>
      </c>
      <c r="EL35" s="22">
        <f>$G35*EJ35</f>
        <v>0</v>
      </c>
      <c r="EM35" s="22"/>
      <c r="EN35" s="22">
        <f t="shared" si="91"/>
        <v>0</v>
      </c>
      <c r="EO35" s="22">
        <f>$G35*EM35</f>
        <v>0</v>
      </c>
    </row>
    <row r="36" spans="1:145">
      <c r="A36" s="15">
        <v>68</v>
      </c>
      <c r="B36" s="15" t="s">
        <v>449</v>
      </c>
      <c r="C36" s="16" t="s">
        <v>382</v>
      </c>
      <c r="D36" s="50" t="s">
        <v>450</v>
      </c>
      <c r="E36" s="16" t="s">
        <v>451</v>
      </c>
      <c r="F36" s="19">
        <f t="shared" ref="F36:F55" si="369">SUM(I36,L36,O36,BN36,R36,U36,X36,AA36,BZ36,CC36,CF36,AD36,AG36,AJ36,AM36,AP36,AS36,AV36,AY36,BB36,BE36,BH36,BK36,BQ36,BT36,BW36,CI36,CL36,CO36,CR36,CU36,CX36,DA36,DD36,DG36,DJ36,DM36,DP36,DS36,DV36,DY36,EB36,EE36,EH36,EK36,EN36)</f>
        <v>1</v>
      </c>
      <c r="G36" s="20"/>
      <c r="H36" s="21"/>
      <c r="I36" s="22">
        <f t="shared" si="1"/>
        <v>0</v>
      </c>
      <c r="J36" s="22">
        <f t="shared" ref="J36" si="370">$G36*H36</f>
        <v>0</v>
      </c>
      <c r="K36" s="22"/>
      <c r="L36" s="22">
        <f t="shared" si="3"/>
        <v>0</v>
      </c>
      <c r="M36" s="22">
        <f t="shared" ref="M36" si="371">$G36*K36</f>
        <v>0</v>
      </c>
      <c r="N36" s="22"/>
      <c r="O36" s="22">
        <f t="shared" si="5"/>
        <v>0</v>
      </c>
      <c r="P36" s="22">
        <f t="shared" ref="P36" si="372">$G36*N36</f>
        <v>0</v>
      </c>
      <c r="Q36" s="22"/>
      <c r="R36" s="22">
        <f t="shared" si="7"/>
        <v>0</v>
      </c>
      <c r="S36" s="22">
        <f t="shared" ref="S36" si="373">$G36*Q36</f>
        <v>0</v>
      </c>
      <c r="T36" s="22"/>
      <c r="U36" s="22">
        <f t="shared" si="9"/>
        <v>0</v>
      </c>
      <c r="V36" s="22">
        <f t="shared" ref="V36" si="374">$G36*T36</f>
        <v>0</v>
      </c>
      <c r="W36" s="22"/>
      <c r="X36" s="22">
        <f t="shared" si="11"/>
        <v>0</v>
      </c>
      <c r="Y36" s="22">
        <f t="shared" ref="Y36" si="375">$G36*W36</f>
        <v>0</v>
      </c>
      <c r="Z36" s="22"/>
      <c r="AA36" s="22">
        <f t="shared" si="13"/>
        <v>0</v>
      </c>
      <c r="AB36" s="22">
        <f t="shared" ref="AB36" si="376">$G36*Z36</f>
        <v>0</v>
      </c>
      <c r="AC36" s="22"/>
      <c r="AD36" s="22">
        <f t="shared" si="15"/>
        <v>0</v>
      </c>
      <c r="AE36" s="22">
        <f t="shared" ref="AE36" si="377">$G36*AC36</f>
        <v>0</v>
      </c>
      <c r="AF36" s="22"/>
      <c r="AG36" s="22">
        <f t="shared" si="17"/>
        <v>0</v>
      </c>
      <c r="AH36" s="22">
        <f t="shared" ref="AH36" si="378">$G36*AF36</f>
        <v>0</v>
      </c>
      <c r="AI36" s="22"/>
      <c r="AJ36" s="22">
        <f t="shared" si="19"/>
        <v>0</v>
      </c>
      <c r="AK36" s="22">
        <f t="shared" ref="AK36" si="379">$G36*AI36</f>
        <v>0</v>
      </c>
      <c r="AL36" s="22"/>
      <c r="AM36" s="22">
        <f t="shared" si="21"/>
        <v>0</v>
      </c>
      <c r="AN36" s="22">
        <f t="shared" ref="AN36" si="380">$G36*AL36</f>
        <v>0</v>
      </c>
      <c r="AO36" s="22"/>
      <c r="AP36" s="22">
        <f t="shared" si="23"/>
        <v>0</v>
      </c>
      <c r="AQ36" s="22">
        <f t="shared" ref="AQ36" si="381">$G36*AO36</f>
        <v>0</v>
      </c>
      <c r="AR36" s="22"/>
      <c r="AS36" s="22">
        <f t="shared" si="25"/>
        <v>0</v>
      </c>
      <c r="AT36" s="22">
        <f t="shared" ref="AT36" si="382">$G36*AR36</f>
        <v>0</v>
      </c>
      <c r="AU36" s="22"/>
      <c r="AV36" s="22">
        <f t="shared" si="27"/>
        <v>0</v>
      </c>
      <c r="AW36" s="22">
        <f t="shared" ref="AW36" si="383">$G36*AU36</f>
        <v>0</v>
      </c>
      <c r="AX36" s="22">
        <v>1</v>
      </c>
      <c r="AY36" s="22">
        <f t="shared" si="29"/>
        <v>0</v>
      </c>
      <c r="AZ36" s="22">
        <f t="shared" ref="AZ36" si="384">$G36*AX36</f>
        <v>0</v>
      </c>
      <c r="BA36" s="22"/>
      <c r="BB36" s="22">
        <f t="shared" si="31"/>
        <v>0</v>
      </c>
      <c r="BC36" s="22">
        <f t="shared" ref="BC36" si="385">$G36*BA36</f>
        <v>0</v>
      </c>
      <c r="BD36" s="22"/>
      <c r="BE36" s="22">
        <f t="shared" si="33"/>
        <v>0</v>
      </c>
      <c r="BF36" s="22">
        <f t="shared" ref="BF36" si="386">$G36*BD36</f>
        <v>0</v>
      </c>
      <c r="BG36" s="22">
        <v>1</v>
      </c>
      <c r="BH36" s="22">
        <f t="shared" si="35"/>
        <v>1</v>
      </c>
      <c r="BI36" s="22">
        <f t="shared" ref="BI36" si="387">$G36*BG36</f>
        <v>0</v>
      </c>
      <c r="BJ36" s="22"/>
      <c r="BK36" s="22">
        <f t="shared" si="37"/>
        <v>0</v>
      </c>
      <c r="BL36" s="22">
        <f t="shared" ref="BL36" si="388">$G36*BJ36</f>
        <v>0</v>
      </c>
      <c r="BM36" s="22"/>
      <c r="BN36" s="22">
        <f t="shared" si="39"/>
        <v>0</v>
      </c>
      <c r="BO36" s="22">
        <f t="shared" ref="BO36" si="389">$G36*BM36</f>
        <v>0</v>
      </c>
      <c r="BP36" s="22"/>
      <c r="BQ36" s="22">
        <f t="shared" si="41"/>
        <v>0</v>
      </c>
      <c r="BR36" s="22">
        <f t="shared" ref="BR36" si="390">$G36*BP36</f>
        <v>0</v>
      </c>
      <c r="BS36" s="22"/>
      <c r="BT36" s="22">
        <f t="shared" si="43"/>
        <v>0</v>
      </c>
      <c r="BU36" s="22">
        <f t="shared" ref="BU36" si="391">$G36*BS36</f>
        <v>0</v>
      </c>
      <c r="BV36" s="22"/>
      <c r="BW36" s="22">
        <f t="shared" si="45"/>
        <v>0</v>
      </c>
      <c r="BX36" s="22">
        <f t="shared" ref="BX36" si="392">$G36*BV36</f>
        <v>0</v>
      </c>
      <c r="BY36" s="22"/>
      <c r="BZ36" s="22">
        <f t="shared" si="47"/>
        <v>0</v>
      </c>
      <c r="CA36" s="22">
        <f t="shared" ref="CA36" si="393">$G36*BY36</f>
        <v>0</v>
      </c>
      <c r="CB36" s="22"/>
      <c r="CC36" s="22">
        <f t="shared" si="49"/>
        <v>0</v>
      </c>
      <c r="CD36" s="22">
        <f t="shared" ref="CD36" si="394">$G36*CB36</f>
        <v>0</v>
      </c>
      <c r="CE36" s="22"/>
      <c r="CF36" s="22">
        <f t="shared" si="51"/>
        <v>0</v>
      </c>
      <c r="CG36" s="22">
        <f t="shared" ref="CG36" si="395">$G36*CE36</f>
        <v>0</v>
      </c>
      <c r="CH36" s="22"/>
      <c r="CI36" s="22">
        <f t="shared" si="53"/>
        <v>0</v>
      </c>
      <c r="CJ36" s="22">
        <f t="shared" ref="CJ36" si="396">$G36*CH36</f>
        <v>0</v>
      </c>
      <c r="CK36" s="22"/>
      <c r="CL36" s="22">
        <f t="shared" si="55"/>
        <v>0</v>
      </c>
      <c r="CM36" s="22">
        <f t="shared" ref="CM36" si="397">$G36*CK36</f>
        <v>0</v>
      </c>
      <c r="CN36" s="22"/>
      <c r="CO36" s="22">
        <f t="shared" si="57"/>
        <v>0</v>
      </c>
      <c r="CP36" s="22">
        <f t="shared" ref="CP36" si="398">$G36*CN36</f>
        <v>0</v>
      </c>
      <c r="CQ36" s="22"/>
      <c r="CR36" s="22">
        <f t="shared" si="59"/>
        <v>0</v>
      </c>
      <c r="CS36" s="22">
        <f t="shared" ref="CS36" si="399">$G36*CQ36</f>
        <v>0</v>
      </c>
      <c r="CT36" s="22"/>
      <c r="CU36" s="22">
        <f t="shared" si="61"/>
        <v>0</v>
      </c>
      <c r="CV36" s="22">
        <f t="shared" ref="CV36" si="400">$G36*CT36</f>
        <v>0</v>
      </c>
      <c r="CW36" s="22"/>
      <c r="CX36" s="22">
        <f t="shared" si="63"/>
        <v>0</v>
      </c>
      <c r="CY36" s="22">
        <f t="shared" ref="CY36" si="401">$G36*CW36</f>
        <v>0</v>
      </c>
      <c r="CZ36" s="22"/>
      <c r="DA36" s="22">
        <f t="shared" si="65"/>
        <v>0</v>
      </c>
      <c r="DB36" s="22">
        <f t="shared" ref="DB36" si="402">$G36*CZ36</f>
        <v>0</v>
      </c>
      <c r="DC36" s="22"/>
      <c r="DD36" s="22">
        <f t="shared" si="67"/>
        <v>0</v>
      </c>
      <c r="DE36" s="22">
        <f t="shared" ref="DE36" si="403">$G36*DC36</f>
        <v>0</v>
      </c>
      <c r="DF36" s="22"/>
      <c r="DG36" s="22">
        <f t="shared" si="69"/>
        <v>0</v>
      </c>
      <c r="DH36" s="22">
        <f t="shared" ref="DH36" si="404">$G36*DF36</f>
        <v>0</v>
      </c>
      <c r="DI36" s="22"/>
      <c r="DJ36" s="22">
        <f t="shared" si="71"/>
        <v>0</v>
      </c>
      <c r="DK36" s="22">
        <f t="shared" ref="DK36" si="405">$G36*DI36</f>
        <v>0</v>
      </c>
      <c r="DL36" s="22"/>
      <c r="DM36" s="22">
        <f t="shared" si="73"/>
        <v>0</v>
      </c>
      <c r="DN36" s="22">
        <f t="shared" ref="DN36" si="406">$G36*DL36</f>
        <v>0</v>
      </c>
      <c r="DO36" s="22"/>
      <c r="DP36" s="22">
        <f t="shared" si="75"/>
        <v>0</v>
      </c>
      <c r="DQ36" s="22">
        <f t="shared" ref="DQ36" si="407">$G36*DO36</f>
        <v>0</v>
      </c>
      <c r="DR36" s="22"/>
      <c r="DS36" s="22">
        <f t="shared" si="77"/>
        <v>0</v>
      </c>
      <c r="DT36" s="22">
        <f t="shared" ref="DT36" si="408">$G36*DR36</f>
        <v>0</v>
      </c>
      <c r="DU36" s="22"/>
      <c r="DV36" s="22">
        <f t="shared" si="79"/>
        <v>0</v>
      </c>
      <c r="DW36" s="22">
        <f t="shared" ref="DW36" si="409">$G36*DU36</f>
        <v>0</v>
      </c>
      <c r="DX36" s="22"/>
      <c r="DY36" s="22">
        <f t="shared" si="81"/>
        <v>0</v>
      </c>
      <c r="DZ36" s="22">
        <f t="shared" ref="DZ36" si="410">$G36*DX36</f>
        <v>0</v>
      </c>
      <c r="EA36" s="22">
        <v>1</v>
      </c>
      <c r="EB36" s="22">
        <f t="shared" si="83"/>
        <v>0</v>
      </c>
      <c r="EC36" s="22">
        <f t="shared" ref="EC36" si="411">$G36*EA36</f>
        <v>0</v>
      </c>
      <c r="ED36" s="22"/>
      <c r="EE36" s="22">
        <f t="shared" si="85"/>
        <v>0</v>
      </c>
      <c r="EF36" s="22">
        <f t="shared" ref="EF36" si="412">$G36*ED36</f>
        <v>0</v>
      </c>
      <c r="EG36" s="22"/>
      <c r="EH36" s="22">
        <f t="shared" si="87"/>
        <v>0</v>
      </c>
      <c r="EI36" s="22">
        <f t="shared" ref="EI36" si="413">$G36*EG36</f>
        <v>0</v>
      </c>
      <c r="EJ36" s="22"/>
      <c r="EK36" s="22">
        <f t="shared" si="89"/>
        <v>0</v>
      </c>
      <c r="EL36" s="22">
        <f t="shared" ref="EL36" si="414">$G36*EJ36</f>
        <v>0</v>
      </c>
      <c r="EM36" s="22"/>
      <c r="EN36" s="22">
        <f t="shared" si="91"/>
        <v>0</v>
      </c>
      <c r="EO36" s="22">
        <f t="shared" ref="EO36" si="415">$G36*EM36</f>
        <v>0</v>
      </c>
    </row>
    <row r="37" spans="1:145">
      <c r="A37" s="15">
        <v>73</v>
      </c>
      <c r="B37" s="15" t="s">
        <v>449</v>
      </c>
      <c r="C37" s="16" t="s">
        <v>382</v>
      </c>
      <c r="D37" s="50" t="s">
        <v>452</v>
      </c>
      <c r="E37" s="16" t="s">
        <v>451</v>
      </c>
      <c r="F37" s="19">
        <f t="shared" si="369"/>
        <v>1</v>
      </c>
      <c r="G37" s="20"/>
      <c r="H37" s="21"/>
      <c r="I37" s="22">
        <f t="shared" si="1"/>
        <v>0</v>
      </c>
      <c r="J37" s="22">
        <f>$G37*H37</f>
        <v>0</v>
      </c>
      <c r="K37" s="22"/>
      <c r="L37" s="22">
        <f t="shared" si="3"/>
        <v>0</v>
      </c>
      <c r="M37" s="22">
        <f>$G37*K37</f>
        <v>0</v>
      </c>
      <c r="N37" s="22"/>
      <c r="O37" s="22">
        <f t="shared" si="5"/>
        <v>0</v>
      </c>
      <c r="P37" s="22">
        <f>$G37*N37</f>
        <v>0</v>
      </c>
      <c r="Q37" s="22"/>
      <c r="R37" s="22">
        <f t="shared" si="7"/>
        <v>0</v>
      </c>
      <c r="S37" s="22">
        <f>$G37*Q37</f>
        <v>0</v>
      </c>
      <c r="T37" s="22"/>
      <c r="U37" s="22">
        <f t="shared" si="9"/>
        <v>0</v>
      </c>
      <c r="V37" s="22">
        <f>$G37*T37</f>
        <v>0</v>
      </c>
      <c r="W37" s="22"/>
      <c r="X37" s="22">
        <f t="shared" si="11"/>
        <v>0</v>
      </c>
      <c r="Y37" s="22">
        <f>$G37*W37</f>
        <v>0</v>
      </c>
      <c r="Z37" s="22"/>
      <c r="AA37" s="22">
        <f t="shared" si="13"/>
        <v>0</v>
      </c>
      <c r="AB37" s="22">
        <f>$G37*Z37</f>
        <v>0</v>
      </c>
      <c r="AC37" s="22"/>
      <c r="AD37" s="22">
        <f t="shared" si="15"/>
        <v>0</v>
      </c>
      <c r="AE37" s="22">
        <f>$G37*AC37</f>
        <v>0</v>
      </c>
      <c r="AF37" s="22"/>
      <c r="AG37" s="22">
        <f t="shared" si="17"/>
        <v>0</v>
      </c>
      <c r="AH37" s="22">
        <f>$G37*AF37</f>
        <v>0</v>
      </c>
      <c r="AI37" s="22"/>
      <c r="AJ37" s="22">
        <f t="shared" si="19"/>
        <v>0</v>
      </c>
      <c r="AK37" s="22">
        <f>$G37*AI37</f>
        <v>0</v>
      </c>
      <c r="AL37" s="22"/>
      <c r="AM37" s="22">
        <f t="shared" si="21"/>
        <v>0</v>
      </c>
      <c r="AN37" s="22">
        <f>$G37*AL37</f>
        <v>0</v>
      </c>
      <c r="AO37" s="22"/>
      <c r="AP37" s="22">
        <f t="shared" si="23"/>
        <v>0</v>
      </c>
      <c r="AQ37" s="22">
        <f>$G37*AO37</f>
        <v>0</v>
      </c>
      <c r="AR37" s="22"/>
      <c r="AS37" s="22">
        <f t="shared" si="25"/>
        <v>0</v>
      </c>
      <c r="AT37" s="22">
        <f>$G37*AR37</f>
        <v>0</v>
      </c>
      <c r="AU37" s="22"/>
      <c r="AV37" s="22">
        <f t="shared" si="27"/>
        <v>0</v>
      </c>
      <c r="AW37" s="22">
        <f>$G37*AU37</f>
        <v>0</v>
      </c>
      <c r="AX37" s="22"/>
      <c r="AY37" s="22">
        <f t="shared" si="29"/>
        <v>0</v>
      </c>
      <c r="AZ37" s="22">
        <f>$G37*AX37</f>
        <v>0</v>
      </c>
      <c r="BA37" s="22">
        <v>1</v>
      </c>
      <c r="BB37" s="22">
        <f t="shared" si="31"/>
        <v>0</v>
      </c>
      <c r="BC37" s="22">
        <f>$G37*BA37</f>
        <v>0</v>
      </c>
      <c r="BD37" s="22"/>
      <c r="BE37" s="22">
        <f t="shared" si="33"/>
        <v>0</v>
      </c>
      <c r="BF37" s="22">
        <f>$G37*BD37</f>
        <v>0</v>
      </c>
      <c r="BG37" s="22"/>
      <c r="BH37" s="22">
        <f t="shared" si="35"/>
        <v>0</v>
      </c>
      <c r="BI37" s="22">
        <f>$G37*BG37</f>
        <v>0</v>
      </c>
      <c r="BJ37" s="22"/>
      <c r="BK37" s="22">
        <f t="shared" si="37"/>
        <v>0</v>
      </c>
      <c r="BL37" s="22">
        <f>$G37*BJ37</f>
        <v>0</v>
      </c>
      <c r="BM37" s="22"/>
      <c r="BN37" s="22">
        <f t="shared" si="39"/>
        <v>0</v>
      </c>
      <c r="BO37" s="22">
        <f>$G37*BM37</f>
        <v>0</v>
      </c>
      <c r="BP37" s="22"/>
      <c r="BQ37" s="22">
        <f t="shared" si="41"/>
        <v>0</v>
      </c>
      <c r="BR37" s="22">
        <f>$G37*BP37</f>
        <v>0</v>
      </c>
      <c r="BS37" s="22"/>
      <c r="BT37" s="22">
        <f t="shared" si="43"/>
        <v>0</v>
      </c>
      <c r="BU37" s="22">
        <f>$G37*BS37</f>
        <v>0</v>
      </c>
      <c r="BV37" s="22"/>
      <c r="BW37" s="22">
        <f t="shared" si="45"/>
        <v>0</v>
      </c>
      <c r="BX37" s="22">
        <f>$G37*BV37</f>
        <v>0</v>
      </c>
      <c r="BY37" s="22"/>
      <c r="BZ37" s="22">
        <f t="shared" si="47"/>
        <v>0</v>
      </c>
      <c r="CA37" s="22">
        <f>$G37*BY37</f>
        <v>0</v>
      </c>
      <c r="CB37" s="22"/>
      <c r="CC37" s="22">
        <f t="shared" si="49"/>
        <v>0</v>
      </c>
      <c r="CD37" s="22">
        <f>$G37*CB37</f>
        <v>0</v>
      </c>
      <c r="CE37" s="22"/>
      <c r="CF37" s="22">
        <f t="shared" si="51"/>
        <v>0</v>
      </c>
      <c r="CG37" s="22">
        <f>$G37*CE37</f>
        <v>0</v>
      </c>
      <c r="CH37" s="22"/>
      <c r="CI37" s="22">
        <f t="shared" si="53"/>
        <v>0</v>
      </c>
      <c r="CJ37" s="22">
        <f>$G37*CH37</f>
        <v>0</v>
      </c>
      <c r="CK37" s="22"/>
      <c r="CL37" s="22">
        <f t="shared" si="55"/>
        <v>0</v>
      </c>
      <c r="CM37" s="22">
        <f>$G37*CK37</f>
        <v>0</v>
      </c>
      <c r="CN37" s="22"/>
      <c r="CO37" s="22">
        <f t="shared" si="57"/>
        <v>0</v>
      </c>
      <c r="CP37" s="22">
        <f>$G37*CN37</f>
        <v>0</v>
      </c>
      <c r="CQ37" s="22"/>
      <c r="CR37" s="22">
        <f t="shared" si="59"/>
        <v>0</v>
      </c>
      <c r="CS37" s="22">
        <f>$G37*CQ37</f>
        <v>0</v>
      </c>
      <c r="CT37" s="22"/>
      <c r="CU37" s="22">
        <f t="shared" si="61"/>
        <v>0</v>
      </c>
      <c r="CV37" s="22">
        <f>$G37*CT37</f>
        <v>0</v>
      </c>
      <c r="CW37" s="22"/>
      <c r="CX37" s="22">
        <f t="shared" si="63"/>
        <v>0</v>
      </c>
      <c r="CY37" s="22">
        <f>$G37*CW37</f>
        <v>0</v>
      </c>
      <c r="CZ37" s="22"/>
      <c r="DA37" s="22">
        <f t="shared" si="65"/>
        <v>0</v>
      </c>
      <c r="DB37" s="22">
        <f>$G37*CZ37</f>
        <v>0</v>
      </c>
      <c r="DC37" s="22"/>
      <c r="DD37" s="22">
        <f t="shared" si="67"/>
        <v>0</v>
      </c>
      <c r="DE37" s="22">
        <f>$G37*DC37</f>
        <v>0</v>
      </c>
      <c r="DF37" s="22"/>
      <c r="DG37" s="22">
        <f t="shared" si="69"/>
        <v>0</v>
      </c>
      <c r="DH37" s="22">
        <f>$G37*DF37</f>
        <v>0</v>
      </c>
      <c r="DI37" s="22"/>
      <c r="DJ37" s="22">
        <f t="shared" si="71"/>
        <v>0</v>
      </c>
      <c r="DK37" s="22">
        <f>$G37*DI37</f>
        <v>0</v>
      </c>
      <c r="DL37" s="22"/>
      <c r="DM37" s="22">
        <f t="shared" si="73"/>
        <v>0</v>
      </c>
      <c r="DN37" s="22">
        <f>$G37*DL37</f>
        <v>0</v>
      </c>
      <c r="DO37" s="22"/>
      <c r="DP37" s="22">
        <f t="shared" si="75"/>
        <v>0</v>
      </c>
      <c r="DQ37" s="22">
        <f>$G37*DO37</f>
        <v>0</v>
      </c>
      <c r="DR37" s="22">
        <v>1</v>
      </c>
      <c r="DS37" s="22">
        <f t="shared" si="77"/>
        <v>1</v>
      </c>
      <c r="DT37" s="22">
        <f>$G37*DR37</f>
        <v>0</v>
      </c>
      <c r="DU37" s="22"/>
      <c r="DV37" s="22">
        <f t="shared" si="79"/>
        <v>0</v>
      </c>
      <c r="DW37" s="22">
        <f>$G37*DU37</f>
        <v>0</v>
      </c>
      <c r="DX37" s="22"/>
      <c r="DY37" s="22">
        <f t="shared" si="81"/>
        <v>0</v>
      </c>
      <c r="DZ37" s="22">
        <f>$G37*DX37</f>
        <v>0</v>
      </c>
      <c r="EA37" s="22"/>
      <c r="EB37" s="22">
        <f t="shared" si="83"/>
        <v>0</v>
      </c>
      <c r="EC37" s="22">
        <f>$G37*EA37</f>
        <v>0</v>
      </c>
      <c r="ED37" s="22">
        <v>1</v>
      </c>
      <c r="EE37" s="22">
        <f t="shared" si="85"/>
        <v>0</v>
      </c>
      <c r="EF37" s="22">
        <f>$G37*ED37</f>
        <v>0</v>
      </c>
      <c r="EG37" s="22"/>
      <c r="EH37" s="22">
        <f t="shared" si="87"/>
        <v>0</v>
      </c>
      <c r="EI37" s="22">
        <f>$G37*EG37</f>
        <v>0</v>
      </c>
      <c r="EJ37" s="22"/>
      <c r="EK37" s="22">
        <f t="shared" si="89"/>
        <v>0</v>
      </c>
      <c r="EL37" s="22">
        <f>$G37*EJ37</f>
        <v>0</v>
      </c>
      <c r="EM37" s="22"/>
      <c r="EN37" s="22">
        <f t="shared" si="91"/>
        <v>0</v>
      </c>
      <c r="EO37" s="22">
        <f>$G37*EM37</f>
        <v>0</v>
      </c>
    </row>
    <row r="38" spans="1:145">
      <c r="A38" s="15">
        <v>74</v>
      </c>
      <c r="B38" s="15" t="s">
        <v>453</v>
      </c>
      <c r="C38" s="16" t="s">
        <v>382</v>
      </c>
      <c r="D38" s="16" t="s">
        <v>454</v>
      </c>
      <c r="E38" s="15" t="s">
        <v>429</v>
      </c>
      <c r="F38" s="19">
        <f t="shared" si="369"/>
        <v>1</v>
      </c>
      <c r="G38" s="20"/>
      <c r="H38" s="21"/>
      <c r="I38" s="22">
        <f t="shared" ref="I38:I55" si="416">H38*$B$61</f>
        <v>0</v>
      </c>
      <c r="J38" s="22">
        <f t="shared" ref="J38:J45" si="417">$G38*H38</f>
        <v>0</v>
      </c>
      <c r="K38" s="22"/>
      <c r="L38" s="22">
        <f t="shared" ref="L38:L55" si="418">K38*$B$62</f>
        <v>0</v>
      </c>
      <c r="M38" s="22">
        <f t="shared" ref="M38:M45" si="419">$G38*K38</f>
        <v>0</v>
      </c>
      <c r="N38" s="22"/>
      <c r="O38" s="22">
        <f t="shared" ref="O38:O55" si="420">N38*$B$63</f>
        <v>0</v>
      </c>
      <c r="P38" s="22">
        <f t="shared" ref="P38:P45" si="421">$G38*N38</f>
        <v>0</v>
      </c>
      <c r="Q38" s="22"/>
      <c r="R38" s="22">
        <f t="shared" ref="R38:R55" si="422">Q38*$B$64</f>
        <v>0</v>
      </c>
      <c r="S38" s="22">
        <f t="shared" ref="S38:S45" si="423">$G38*Q38</f>
        <v>0</v>
      </c>
      <c r="T38" s="22"/>
      <c r="U38" s="22">
        <f t="shared" ref="U38:U55" si="424">T38*$B$65</f>
        <v>0</v>
      </c>
      <c r="V38" s="22">
        <f t="shared" ref="V38:V45" si="425">$G38*T38</f>
        <v>0</v>
      </c>
      <c r="W38" s="22"/>
      <c r="X38" s="22">
        <f t="shared" ref="X38:X55" si="426">W38*$B$66</f>
        <v>0</v>
      </c>
      <c r="Y38" s="22">
        <f t="shared" ref="Y38:Y45" si="427">$G38*W38</f>
        <v>0</v>
      </c>
      <c r="Z38" s="22"/>
      <c r="AA38" s="22">
        <f t="shared" ref="AA38:AA55" si="428">Z38*$B$67</f>
        <v>0</v>
      </c>
      <c r="AB38" s="22">
        <f t="shared" ref="AB38:AB45" si="429">$G38*Z38</f>
        <v>0</v>
      </c>
      <c r="AC38" s="22"/>
      <c r="AD38" s="22">
        <f t="shared" ref="AD38:AD55" si="430">AC38*$B$68</f>
        <v>0</v>
      </c>
      <c r="AE38" s="22">
        <f t="shared" ref="AE38:AE45" si="431">$G38*AC38</f>
        <v>0</v>
      </c>
      <c r="AF38" s="22"/>
      <c r="AG38" s="22">
        <f t="shared" ref="AG38:AG55" si="432">AF38*$B$69</f>
        <v>0</v>
      </c>
      <c r="AH38" s="22">
        <f t="shared" ref="AH38:AH45" si="433">$G38*AF38</f>
        <v>0</v>
      </c>
      <c r="AI38" s="22"/>
      <c r="AJ38" s="22">
        <f t="shared" ref="AJ38:AJ55" si="434">AI38*$B$70</f>
        <v>0</v>
      </c>
      <c r="AK38" s="22">
        <f t="shared" ref="AK38:AK45" si="435">$G38*AI38</f>
        <v>0</v>
      </c>
      <c r="AL38" s="22"/>
      <c r="AM38" s="22">
        <f t="shared" ref="AM38:AM55" si="436">AL38*$B$71</f>
        <v>0</v>
      </c>
      <c r="AN38" s="22">
        <f t="shared" ref="AN38:AN45" si="437">$G38*AL38</f>
        <v>0</v>
      </c>
      <c r="AO38" s="22"/>
      <c r="AP38" s="22">
        <f t="shared" ref="AP38:AP55" si="438">AO38*$B$72</f>
        <v>0</v>
      </c>
      <c r="AQ38" s="22">
        <f t="shared" ref="AQ38:AQ45" si="439">$G38*AO38</f>
        <v>0</v>
      </c>
      <c r="AR38" s="22"/>
      <c r="AS38" s="22">
        <f t="shared" ref="AS38:AS55" si="440">AR38*$B$73</f>
        <v>0</v>
      </c>
      <c r="AT38" s="22">
        <f t="shared" ref="AT38:AT45" si="441">$G38*AR38</f>
        <v>0</v>
      </c>
      <c r="AU38" s="22"/>
      <c r="AV38" s="22">
        <f t="shared" ref="AV38:AV55" si="442">AU38*$B$74</f>
        <v>0</v>
      </c>
      <c r="AW38" s="22">
        <f t="shared" ref="AW38:AW45" si="443">$G38*AU38</f>
        <v>0</v>
      </c>
      <c r="AX38" s="22"/>
      <c r="AY38" s="22">
        <f t="shared" ref="AY38:AY55" si="444">AX38*$B$75</f>
        <v>0</v>
      </c>
      <c r="AZ38" s="22">
        <f t="shared" ref="AZ38:AZ45" si="445">$G38*AX38</f>
        <v>0</v>
      </c>
      <c r="BA38" s="22">
        <v>1</v>
      </c>
      <c r="BB38" s="22">
        <f t="shared" ref="BB38:BB55" si="446">BA38*$B$76</f>
        <v>0</v>
      </c>
      <c r="BC38" s="22">
        <f t="shared" ref="BC38:BC45" si="447">$G38*BA38</f>
        <v>0</v>
      </c>
      <c r="BD38" s="22"/>
      <c r="BE38" s="22">
        <f t="shared" ref="BE38:BE55" si="448">BD38*$B$77</f>
        <v>0</v>
      </c>
      <c r="BF38" s="22">
        <f t="shared" ref="BF38:BF45" si="449">$G38*BD38</f>
        <v>0</v>
      </c>
      <c r="BG38" s="22"/>
      <c r="BH38" s="22">
        <f t="shared" ref="BH38:BH55" si="450">BG38*$B$78</f>
        <v>0</v>
      </c>
      <c r="BI38" s="22">
        <f t="shared" ref="BI38:BI45" si="451">$G38*BG38</f>
        <v>0</v>
      </c>
      <c r="BJ38" s="22"/>
      <c r="BK38" s="22">
        <f t="shared" ref="BK38:BK55" si="452">BJ38*$B$79</f>
        <v>0</v>
      </c>
      <c r="BL38" s="22">
        <f t="shared" ref="BL38:BL45" si="453">$G38*BJ38</f>
        <v>0</v>
      </c>
      <c r="BM38" s="22"/>
      <c r="BN38" s="22">
        <f t="shared" ref="BN38:BN55" si="454">BM38*$B$80</f>
        <v>0</v>
      </c>
      <c r="BO38" s="22">
        <f t="shared" ref="BO38:BO45" si="455">$G38*BM38</f>
        <v>0</v>
      </c>
      <c r="BP38" s="22"/>
      <c r="BQ38" s="22">
        <f t="shared" ref="BQ38:BQ55" si="456">BP38*$B$81</f>
        <v>0</v>
      </c>
      <c r="BR38" s="22">
        <f t="shared" ref="BR38:BR45" si="457">$G38*BP38</f>
        <v>0</v>
      </c>
      <c r="BS38" s="22"/>
      <c r="BT38" s="22">
        <f t="shared" ref="BT38:BT55" si="458">BS38*$B$82</f>
        <v>0</v>
      </c>
      <c r="BU38" s="22">
        <f t="shared" ref="BU38:BU45" si="459">$G38*BS38</f>
        <v>0</v>
      </c>
      <c r="BV38" s="22"/>
      <c r="BW38" s="22">
        <f t="shared" ref="BW38:BW55" si="460">BV38*$B$83</f>
        <v>0</v>
      </c>
      <c r="BX38" s="22">
        <f t="shared" ref="BX38:BX45" si="461">$G38*BV38</f>
        <v>0</v>
      </c>
      <c r="BY38" s="22"/>
      <c r="BZ38" s="22">
        <f t="shared" ref="BZ38:BZ55" si="462">BY38*$B$84</f>
        <v>0</v>
      </c>
      <c r="CA38" s="22">
        <f t="shared" ref="CA38:CA45" si="463">$G38*BY38</f>
        <v>0</v>
      </c>
      <c r="CB38" s="22"/>
      <c r="CC38" s="22">
        <f t="shared" ref="CC38:CC55" si="464">CB38*$B$85</f>
        <v>0</v>
      </c>
      <c r="CD38" s="22">
        <f t="shared" ref="CD38:CD45" si="465">$G38*CB38</f>
        <v>0</v>
      </c>
      <c r="CE38" s="22"/>
      <c r="CF38" s="22">
        <f t="shared" ref="CF38:CF55" si="466">CE38*$B$86</f>
        <v>0</v>
      </c>
      <c r="CG38" s="22">
        <f t="shared" ref="CG38:CG45" si="467">$G38*CE38</f>
        <v>0</v>
      </c>
      <c r="CH38" s="22"/>
      <c r="CI38" s="22">
        <f t="shared" ref="CI38:CI55" si="468">CH38*$B$87</f>
        <v>0</v>
      </c>
      <c r="CJ38" s="22">
        <f t="shared" ref="CJ38:CJ45" si="469">$G38*CH38</f>
        <v>0</v>
      </c>
      <c r="CK38" s="22"/>
      <c r="CL38" s="22">
        <f t="shared" ref="CL38:CL55" si="470">CK38*$B$88</f>
        <v>0</v>
      </c>
      <c r="CM38" s="22">
        <f t="shared" ref="CM38:CM45" si="471">$G38*CK38</f>
        <v>0</v>
      </c>
      <c r="CN38" s="22"/>
      <c r="CO38" s="22">
        <f t="shared" ref="CO38:CO55" si="472">CN38*$B$89</f>
        <v>0</v>
      </c>
      <c r="CP38" s="22">
        <f t="shared" ref="CP38:CP45" si="473">$G38*CN38</f>
        <v>0</v>
      </c>
      <c r="CQ38" s="22"/>
      <c r="CR38" s="22">
        <f t="shared" ref="CR38:CR55" si="474">CQ38*$B$90</f>
        <v>0</v>
      </c>
      <c r="CS38" s="22">
        <f t="shared" ref="CS38:CS45" si="475">$G38*CQ38</f>
        <v>0</v>
      </c>
      <c r="CT38" s="22"/>
      <c r="CU38" s="22">
        <f t="shared" ref="CU38:CU55" si="476">CT38*$B$91</f>
        <v>0</v>
      </c>
      <c r="CV38" s="22">
        <f t="shared" ref="CV38:CV45" si="477">$G38*CT38</f>
        <v>0</v>
      </c>
      <c r="CW38" s="22"/>
      <c r="CX38" s="22">
        <f t="shared" ref="CX38:CX55" si="478">CW38*$B$92</f>
        <v>0</v>
      </c>
      <c r="CY38" s="22">
        <f t="shared" ref="CY38:CY45" si="479">$G38*CW38</f>
        <v>0</v>
      </c>
      <c r="CZ38" s="22"/>
      <c r="DA38" s="22">
        <f t="shared" ref="DA38:DA55" si="480">CZ38*$B$93</f>
        <v>0</v>
      </c>
      <c r="DB38" s="22">
        <f t="shared" ref="DB38:DB45" si="481">$G38*CZ38</f>
        <v>0</v>
      </c>
      <c r="DC38" s="22"/>
      <c r="DD38" s="22">
        <f t="shared" ref="DD38:DD55" si="482">DC38*$B$94</f>
        <v>0</v>
      </c>
      <c r="DE38" s="22">
        <f t="shared" ref="DE38:DE45" si="483">$G38*DC38</f>
        <v>0</v>
      </c>
      <c r="DF38" s="22"/>
      <c r="DG38" s="22">
        <f t="shared" ref="DG38:DG55" si="484">DF38*$B$95</f>
        <v>0</v>
      </c>
      <c r="DH38" s="22">
        <f t="shared" ref="DH38:DH45" si="485">$G38*DF38</f>
        <v>0</v>
      </c>
      <c r="DI38" s="22"/>
      <c r="DJ38" s="22">
        <f t="shared" ref="DJ38:DJ55" si="486">DI38*$B$96</f>
        <v>0</v>
      </c>
      <c r="DK38" s="22">
        <f t="shared" ref="DK38:DK45" si="487">$G38*DI38</f>
        <v>0</v>
      </c>
      <c r="DL38" s="22"/>
      <c r="DM38" s="22">
        <f t="shared" ref="DM38:DM55" si="488">DL38*$B$97</f>
        <v>0</v>
      </c>
      <c r="DN38" s="22">
        <f t="shared" ref="DN38:DN45" si="489">$G38*DL38</f>
        <v>0</v>
      </c>
      <c r="DO38" s="22"/>
      <c r="DP38" s="22">
        <f t="shared" ref="DP38:DP55" si="490">DO38*$B$98</f>
        <v>0</v>
      </c>
      <c r="DQ38" s="22">
        <f t="shared" ref="DQ38:DQ45" si="491">$G38*DO38</f>
        <v>0</v>
      </c>
      <c r="DR38" s="22">
        <v>1</v>
      </c>
      <c r="DS38" s="22">
        <f t="shared" ref="DS38:DS55" si="492">DR38*$B$99</f>
        <v>1</v>
      </c>
      <c r="DT38" s="22">
        <f t="shared" ref="DT38:DT45" si="493">$G38*DR38</f>
        <v>0</v>
      </c>
      <c r="DU38" s="22"/>
      <c r="DV38" s="22">
        <f t="shared" ref="DV38:DV55" si="494">DU38*$B$100</f>
        <v>0</v>
      </c>
      <c r="DW38" s="22">
        <f t="shared" ref="DW38:DW45" si="495">$G38*DU38</f>
        <v>0</v>
      </c>
      <c r="DX38" s="22"/>
      <c r="DY38" s="22">
        <f t="shared" ref="DY38:DY55" si="496">DX38*$B$101</f>
        <v>0</v>
      </c>
      <c r="DZ38" s="22">
        <f t="shared" ref="DZ38:DZ45" si="497">$G38*DX38</f>
        <v>0</v>
      </c>
      <c r="EA38" s="22"/>
      <c r="EB38" s="22">
        <f t="shared" ref="EB38:EB55" si="498">EA38*$B$102</f>
        <v>0</v>
      </c>
      <c r="EC38" s="22">
        <f t="shared" ref="EC38:EC45" si="499">$G38*EA38</f>
        <v>0</v>
      </c>
      <c r="ED38" s="22">
        <v>1</v>
      </c>
      <c r="EE38" s="22">
        <f t="shared" ref="EE38:EE55" si="500">ED38*$B$103</f>
        <v>0</v>
      </c>
      <c r="EF38" s="22">
        <f t="shared" ref="EF38:EF45" si="501">$G38*ED38</f>
        <v>0</v>
      </c>
      <c r="EG38" s="22"/>
      <c r="EH38" s="22">
        <f t="shared" ref="EH38:EH55" si="502">EG38*$B$104</f>
        <v>0</v>
      </c>
      <c r="EI38" s="22">
        <f t="shared" ref="EI38:EI45" si="503">$G38*EG38</f>
        <v>0</v>
      </c>
      <c r="EJ38" s="22"/>
      <c r="EK38" s="22">
        <f t="shared" ref="EK38:EK55" si="504">EJ38*$B$105</f>
        <v>0</v>
      </c>
      <c r="EL38" s="22">
        <f t="shared" ref="EL38:EL45" si="505">$G38*EJ38</f>
        <v>0</v>
      </c>
      <c r="EM38" s="22"/>
      <c r="EN38" s="22">
        <f t="shared" ref="EN38:EN55" si="506">EM38*$B$106</f>
        <v>0</v>
      </c>
      <c r="EO38" s="22">
        <f t="shared" ref="EO38:EO45" si="507">$G38*EM38</f>
        <v>0</v>
      </c>
    </row>
    <row r="39" spans="1:145">
      <c r="A39" s="15">
        <v>75</v>
      </c>
      <c r="B39" s="15" t="s">
        <v>455</v>
      </c>
      <c r="C39" s="16" t="s">
        <v>378</v>
      </c>
      <c r="D39" s="16" t="s">
        <v>456</v>
      </c>
      <c r="E39" s="15" t="s">
        <v>399</v>
      </c>
      <c r="F39" s="19">
        <f t="shared" si="369"/>
        <v>1</v>
      </c>
      <c r="G39" s="20"/>
      <c r="H39" s="21"/>
      <c r="I39" s="22">
        <f t="shared" si="416"/>
        <v>0</v>
      </c>
      <c r="J39" s="22">
        <f t="shared" si="417"/>
        <v>0</v>
      </c>
      <c r="K39" s="22"/>
      <c r="L39" s="22">
        <f t="shared" si="418"/>
        <v>0</v>
      </c>
      <c r="M39" s="22">
        <f t="shared" si="419"/>
        <v>0</v>
      </c>
      <c r="N39" s="22"/>
      <c r="O39" s="22">
        <f t="shared" si="420"/>
        <v>0</v>
      </c>
      <c r="P39" s="22">
        <f t="shared" si="421"/>
        <v>0</v>
      </c>
      <c r="Q39" s="22"/>
      <c r="R39" s="22">
        <f t="shared" si="422"/>
        <v>0</v>
      </c>
      <c r="S39" s="22">
        <f t="shared" si="423"/>
        <v>0</v>
      </c>
      <c r="T39" s="22"/>
      <c r="U39" s="22">
        <f t="shared" si="424"/>
        <v>0</v>
      </c>
      <c r="V39" s="22">
        <f t="shared" si="425"/>
        <v>0</v>
      </c>
      <c r="W39" s="22"/>
      <c r="X39" s="22">
        <f t="shared" si="426"/>
        <v>0</v>
      </c>
      <c r="Y39" s="22">
        <f t="shared" si="427"/>
        <v>0</v>
      </c>
      <c r="Z39" s="22"/>
      <c r="AA39" s="22">
        <f t="shared" si="428"/>
        <v>0</v>
      </c>
      <c r="AB39" s="22">
        <f t="shared" si="429"/>
        <v>0</v>
      </c>
      <c r="AC39" s="22"/>
      <c r="AD39" s="22">
        <f t="shared" si="430"/>
        <v>0</v>
      </c>
      <c r="AE39" s="22">
        <f t="shared" si="431"/>
        <v>0</v>
      </c>
      <c r="AF39" s="22"/>
      <c r="AG39" s="22">
        <f t="shared" si="432"/>
        <v>0</v>
      </c>
      <c r="AH39" s="22">
        <f t="shared" si="433"/>
        <v>0</v>
      </c>
      <c r="AI39" s="22"/>
      <c r="AJ39" s="22">
        <f t="shared" si="434"/>
        <v>0</v>
      </c>
      <c r="AK39" s="22">
        <f t="shared" si="435"/>
        <v>0</v>
      </c>
      <c r="AL39" s="22"/>
      <c r="AM39" s="22">
        <f t="shared" si="436"/>
        <v>0</v>
      </c>
      <c r="AN39" s="22">
        <f t="shared" si="437"/>
        <v>0</v>
      </c>
      <c r="AO39" s="22"/>
      <c r="AP39" s="22">
        <f t="shared" si="438"/>
        <v>0</v>
      </c>
      <c r="AQ39" s="22">
        <f t="shared" si="439"/>
        <v>0</v>
      </c>
      <c r="AR39" s="22"/>
      <c r="AS39" s="22">
        <f t="shared" si="440"/>
        <v>0</v>
      </c>
      <c r="AT39" s="22">
        <f t="shared" si="441"/>
        <v>0</v>
      </c>
      <c r="AU39" s="22"/>
      <c r="AV39" s="22">
        <f t="shared" si="442"/>
        <v>0</v>
      </c>
      <c r="AW39" s="22">
        <f t="shared" si="443"/>
        <v>0</v>
      </c>
      <c r="AX39" s="22"/>
      <c r="AY39" s="22">
        <f t="shared" si="444"/>
        <v>0</v>
      </c>
      <c r="AZ39" s="22">
        <f t="shared" si="445"/>
        <v>0</v>
      </c>
      <c r="BA39" s="22"/>
      <c r="BB39" s="22">
        <f t="shared" si="446"/>
        <v>0</v>
      </c>
      <c r="BC39" s="22">
        <f t="shared" si="447"/>
        <v>0</v>
      </c>
      <c r="BD39" s="22">
        <v>1</v>
      </c>
      <c r="BE39" s="22">
        <f t="shared" si="448"/>
        <v>1</v>
      </c>
      <c r="BF39" s="22">
        <f t="shared" si="449"/>
        <v>0</v>
      </c>
      <c r="BG39" s="22"/>
      <c r="BH39" s="22">
        <f t="shared" si="450"/>
        <v>0</v>
      </c>
      <c r="BI39" s="22">
        <f t="shared" si="451"/>
        <v>0</v>
      </c>
      <c r="BJ39" s="22"/>
      <c r="BK39" s="22">
        <f t="shared" si="452"/>
        <v>0</v>
      </c>
      <c r="BL39" s="22">
        <f t="shared" si="453"/>
        <v>0</v>
      </c>
      <c r="BM39" s="22"/>
      <c r="BN39" s="22">
        <f t="shared" si="454"/>
        <v>0</v>
      </c>
      <c r="BO39" s="22">
        <f t="shared" si="455"/>
        <v>0</v>
      </c>
      <c r="BP39" s="22"/>
      <c r="BQ39" s="22">
        <f t="shared" si="456"/>
        <v>0</v>
      </c>
      <c r="BR39" s="22">
        <f t="shared" si="457"/>
        <v>0</v>
      </c>
      <c r="BS39" s="22"/>
      <c r="BT39" s="22">
        <f t="shared" si="458"/>
        <v>0</v>
      </c>
      <c r="BU39" s="22">
        <f t="shared" si="459"/>
        <v>0</v>
      </c>
      <c r="BV39" s="22"/>
      <c r="BW39" s="22">
        <f t="shared" si="460"/>
        <v>0</v>
      </c>
      <c r="BX39" s="22">
        <f t="shared" si="461"/>
        <v>0</v>
      </c>
      <c r="BY39" s="22"/>
      <c r="BZ39" s="22">
        <f t="shared" si="462"/>
        <v>0</v>
      </c>
      <c r="CA39" s="22">
        <f t="shared" si="463"/>
        <v>0</v>
      </c>
      <c r="CB39" s="22"/>
      <c r="CC39" s="22">
        <f t="shared" si="464"/>
        <v>0</v>
      </c>
      <c r="CD39" s="22">
        <f t="shared" si="465"/>
        <v>0</v>
      </c>
      <c r="CE39" s="22"/>
      <c r="CF39" s="22">
        <f t="shared" si="466"/>
        <v>0</v>
      </c>
      <c r="CG39" s="22">
        <f t="shared" si="467"/>
        <v>0</v>
      </c>
      <c r="CH39" s="22"/>
      <c r="CI39" s="22">
        <f t="shared" si="468"/>
        <v>0</v>
      </c>
      <c r="CJ39" s="22">
        <f t="shared" si="469"/>
        <v>0</v>
      </c>
      <c r="CK39" s="22"/>
      <c r="CL39" s="22">
        <f t="shared" si="470"/>
        <v>0</v>
      </c>
      <c r="CM39" s="22">
        <f t="shared" si="471"/>
        <v>0</v>
      </c>
      <c r="CN39" s="22"/>
      <c r="CO39" s="22">
        <f t="shared" si="472"/>
        <v>0</v>
      </c>
      <c r="CP39" s="22">
        <f t="shared" si="473"/>
        <v>0</v>
      </c>
      <c r="CQ39" s="22"/>
      <c r="CR39" s="22">
        <f t="shared" si="474"/>
        <v>0</v>
      </c>
      <c r="CS39" s="22">
        <f t="shared" si="475"/>
        <v>0</v>
      </c>
      <c r="CT39" s="22"/>
      <c r="CU39" s="22">
        <f t="shared" si="476"/>
        <v>0</v>
      </c>
      <c r="CV39" s="22">
        <f t="shared" si="477"/>
        <v>0</v>
      </c>
      <c r="CW39" s="22"/>
      <c r="CX39" s="22">
        <f t="shared" si="478"/>
        <v>0</v>
      </c>
      <c r="CY39" s="22">
        <f t="shared" si="479"/>
        <v>0</v>
      </c>
      <c r="CZ39" s="22"/>
      <c r="DA39" s="22">
        <f t="shared" si="480"/>
        <v>0</v>
      </c>
      <c r="DB39" s="22">
        <f t="shared" si="481"/>
        <v>0</v>
      </c>
      <c r="DC39" s="22"/>
      <c r="DD39" s="22">
        <f t="shared" si="482"/>
        <v>0</v>
      </c>
      <c r="DE39" s="22">
        <f t="shared" si="483"/>
        <v>0</v>
      </c>
      <c r="DF39" s="22"/>
      <c r="DG39" s="22">
        <f t="shared" si="484"/>
        <v>0</v>
      </c>
      <c r="DH39" s="22">
        <f t="shared" si="485"/>
        <v>0</v>
      </c>
      <c r="DI39" s="22"/>
      <c r="DJ39" s="22">
        <f t="shared" si="486"/>
        <v>0</v>
      </c>
      <c r="DK39" s="22">
        <f t="shared" si="487"/>
        <v>0</v>
      </c>
      <c r="DL39" s="22"/>
      <c r="DM39" s="22">
        <f t="shared" si="488"/>
        <v>0</v>
      </c>
      <c r="DN39" s="22">
        <f t="shared" si="489"/>
        <v>0</v>
      </c>
      <c r="DO39" s="22"/>
      <c r="DP39" s="22">
        <f t="shared" si="490"/>
        <v>0</v>
      </c>
      <c r="DQ39" s="22">
        <f t="shared" si="491"/>
        <v>0</v>
      </c>
      <c r="DR39" s="22"/>
      <c r="DS39" s="22">
        <f t="shared" si="492"/>
        <v>0</v>
      </c>
      <c r="DT39" s="22">
        <f t="shared" si="493"/>
        <v>0</v>
      </c>
      <c r="DU39" s="22"/>
      <c r="DV39" s="22">
        <f t="shared" si="494"/>
        <v>0</v>
      </c>
      <c r="DW39" s="22">
        <f t="shared" si="495"/>
        <v>0</v>
      </c>
      <c r="DX39" s="22"/>
      <c r="DY39" s="22">
        <f t="shared" si="496"/>
        <v>0</v>
      </c>
      <c r="DZ39" s="22">
        <f t="shared" si="497"/>
        <v>0</v>
      </c>
      <c r="EA39" s="22"/>
      <c r="EB39" s="22">
        <f t="shared" si="498"/>
        <v>0</v>
      </c>
      <c r="EC39" s="22">
        <f t="shared" si="499"/>
        <v>0</v>
      </c>
      <c r="ED39" s="22"/>
      <c r="EE39" s="22">
        <f t="shared" si="500"/>
        <v>0</v>
      </c>
      <c r="EF39" s="22">
        <f t="shared" si="501"/>
        <v>0</v>
      </c>
      <c r="EG39" s="22"/>
      <c r="EH39" s="22">
        <f t="shared" si="502"/>
        <v>0</v>
      </c>
      <c r="EI39" s="22">
        <f t="shared" si="503"/>
        <v>0</v>
      </c>
      <c r="EJ39" s="22"/>
      <c r="EK39" s="22">
        <f t="shared" si="504"/>
        <v>0</v>
      </c>
      <c r="EL39" s="22">
        <f t="shared" si="505"/>
        <v>0</v>
      </c>
      <c r="EM39" s="22"/>
      <c r="EN39" s="22">
        <f t="shared" si="506"/>
        <v>0</v>
      </c>
      <c r="EO39" s="22">
        <f t="shared" si="507"/>
        <v>0</v>
      </c>
    </row>
    <row r="40" spans="1:145">
      <c r="A40" s="15">
        <v>76</v>
      </c>
      <c r="B40" s="15" t="s">
        <v>457</v>
      </c>
      <c r="C40" s="16" t="s">
        <v>397</v>
      </c>
      <c r="D40" s="15" t="s">
        <v>458</v>
      </c>
      <c r="E40" s="15" t="s">
        <v>399</v>
      </c>
      <c r="F40" s="19">
        <f t="shared" si="369"/>
        <v>45</v>
      </c>
      <c r="G40" s="20"/>
      <c r="H40" s="21"/>
      <c r="I40" s="22">
        <f t="shared" si="416"/>
        <v>0</v>
      </c>
      <c r="J40" s="22">
        <f t="shared" si="417"/>
        <v>0</v>
      </c>
      <c r="K40" s="22"/>
      <c r="L40" s="22">
        <f t="shared" si="418"/>
        <v>0</v>
      </c>
      <c r="M40" s="22">
        <f t="shared" si="419"/>
        <v>0</v>
      </c>
      <c r="N40" s="22"/>
      <c r="O40" s="22">
        <f t="shared" si="420"/>
        <v>0</v>
      </c>
      <c r="P40" s="22">
        <f t="shared" si="421"/>
        <v>0</v>
      </c>
      <c r="Q40" s="22"/>
      <c r="R40" s="22">
        <f t="shared" si="422"/>
        <v>0</v>
      </c>
      <c r="S40" s="22">
        <f t="shared" si="423"/>
        <v>0</v>
      </c>
      <c r="T40" s="22"/>
      <c r="U40" s="22">
        <f t="shared" si="424"/>
        <v>0</v>
      </c>
      <c r="V40" s="22">
        <f t="shared" si="425"/>
        <v>0</v>
      </c>
      <c r="W40" s="22"/>
      <c r="X40" s="22">
        <f t="shared" si="426"/>
        <v>0</v>
      </c>
      <c r="Y40" s="22">
        <f t="shared" si="427"/>
        <v>0</v>
      </c>
      <c r="Z40" s="22"/>
      <c r="AA40" s="22">
        <f t="shared" si="428"/>
        <v>0</v>
      </c>
      <c r="AB40" s="22">
        <f t="shared" si="429"/>
        <v>0</v>
      </c>
      <c r="AC40" s="22"/>
      <c r="AD40" s="22">
        <f t="shared" si="430"/>
        <v>0</v>
      </c>
      <c r="AE40" s="22">
        <f t="shared" si="431"/>
        <v>0</v>
      </c>
      <c r="AF40" s="22"/>
      <c r="AG40" s="22">
        <f t="shared" si="432"/>
        <v>0</v>
      </c>
      <c r="AH40" s="22">
        <f t="shared" si="433"/>
        <v>0</v>
      </c>
      <c r="AI40" s="22"/>
      <c r="AJ40" s="22">
        <f t="shared" si="434"/>
        <v>0</v>
      </c>
      <c r="AK40" s="22">
        <f t="shared" si="435"/>
        <v>0</v>
      </c>
      <c r="AL40" s="22"/>
      <c r="AM40" s="22">
        <f t="shared" si="436"/>
        <v>0</v>
      </c>
      <c r="AN40" s="22">
        <f t="shared" si="437"/>
        <v>0</v>
      </c>
      <c r="AO40" s="22"/>
      <c r="AP40" s="22">
        <f t="shared" si="438"/>
        <v>0</v>
      </c>
      <c r="AQ40" s="22">
        <f t="shared" si="439"/>
        <v>0</v>
      </c>
      <c r="AR40" s="22"/>
      <c r="AS40" s="22">
        <f t="shared" si="440"/>
        <v>0</v>
      </c>
      <c r="AT40" s="22">
        <f t="shared" si="441"/>
        <v>0</v>
      </c>
      <c r="AU40" s="22"/>
      <c r="AV40" s="22">
        <f t="shared" si="442"/>
        <v>0</v>
      </c>
      <c r="AW40" s="22">
        <f t="shared" si="443"/>
        <v>0</v>
      </c>
      <c r="AX40" s="22"/>
      <c r="AY40" s="22">
        <f t="shared" si="444"/>
        <v>0</v>
      </c>
      <c r="AZ40" s="22">
        <f t="shared" si="445"/>
        <v>0</v>
      </c>
      <c r="BA40" s="22"/>
      <c r="BB40" s="22">
        <f t="shared" si="446"/>
        <v>0</v>
      </c>
      <c r="BC40" s="22">
        <f t="shared" si="447"/>
        <v>0</v>
      </c>
      <c r="BD40" s="22">
        <v>1</v>
      </c>
      <c r="BE40" s="22">
        <f t="shared" si="448"/>
        <v>1</v>
      </c>
      <c r="BF40" s="22">
        <f t="shared" si="449"/>
        <v>0</v>
      </c>
      <c r="BG40" s="22"/>
      <c r="BH40" s="22">
        <f t="shared" si="450"/>
        <v>0</v>
      </c>
      <c r="BI40" s="22">
        <f t="shared" si="451"/>
        <v>0</v>
      </c>
      <c r="BJ40" s="22"/>
      <c r="BK40" s="22">
        <f t="shared" si="452"/>
        <v>0</v>
      </c>
      <c r="BL40" s="22">
        <f t="shared" si="453"/>
        <v>0</v>
      </c>
      <c r="BM40" s="22"/>
      <c r="BN40" s="22">
        <f t="shared" si="454"/>
        <v>0</v>
      </c>
      <c r="BO40" s="22">
        <f t="shared" si="455"/>
        <v>0</v>
      </c>
      <c r="BP40" s="22"/>
      <c r="BQ40" s="22">
        <f t="shared" si="456"/>
        <v>0</v>
      </c>
      <c r="BR40" s="22">
        <f t="shared" si="457"/>
        <v>0</v>
      </c>
      <c r="BS40" s="22">
        <v>1</v>
      </c>
      <c r="BT40" s="22">
        <f t="shared" si="458"/>
        <v>1</v>
      </c>
      <c r="BU40" s="22">
        <f t="shared" si="459"/>
        <v>0</v>
      </c>
      <c r="BV40" s="22">
        <v>1</v>
      </c>
      <c r="BW40" s="22">
        <f t="shared" si="460"/>
        <v>0</v>
      </c>
      <c r="BX40" s="22">
        <f t="shared" si="461"/>
        <v>0</v>
      </c>
      <c r="BY40" s="22">
        <v>1</v>
      </c>
      <c r="BZ40" s="22">
        <f t="shared" si="462"/>
        <v>12</v>
      </c>
      <c r="CA40" s="22">
        <f t="shared" si="463"/>
        <v>0</v>
      </c>
      <c r="CB40" s="22">
        <v>1</v>
      </c>
      <c r="CC40" s="22">
        <f t="shared" si="464"/>
        <v>31</v>
      </c>
      <c r="CD40" s="22">
        <f t="shared" si="465"/>
        <v>0</v>
      </c>
      <c r="CE40" s="22"/>
      <c r="CF40" s="22">
        <f t="shared" si="466"/>
        <v>0</v>
      </c>
      <c r="CG40" s="22">
        <f t="shared" si="467"/>
        <v>0</v>
      </c>
      <c r="CH40" s="22"/>
      <c r="CI40" s="22">
        <f t="shared" si="468"/>
        <v>0</v>
      </c>
      <c r="CJ40" s="22">
        <f t="shared" si="469"/>
        <v>0</v>
      </c>
      <c r="CK40" s="22"/>
      <c r="CL40" s="22">
        <f t="shared" si="470"/>
        <v>0</v>
      </c>
      <c r="CM40" s="22">
        <f t="shared" si="471"/>
        <v>0</v>
      </c>
      <c r="CN40" s="22"/>
      <c r="CO40" s="22">
        <f t="shared" si="472"/>
        <v>0</v>
      </c>
      <c r="CP40" s="22">
        <f t="shared" si="473"/>
        <v>0</v>
      </c>
      <c r="CQ40" s="22"/>
      <c r="CR40" s="22">
        <f t="shared" si="474"/>
        <v>0</v>
      </c>
      <c r="CS40" s="22">
        <f t="shared" si="475"/>
        <v>0</v>
      </c>
      <c r="CT40" s="22"/>
      <c r="CU40" s="22">
        <f t="shared" si="476"/>
        <v>0</v>
      </c>
      <c r="CV40" s="22">
        <f t="shared" si="477"/>
        <v>0</v>
      </c>
      <c r="CW40" s="22"/>
      <c r="CX40" s="22">
        <f t="shared" si="478"/>
        <v>0</v>
      </c>
      <c r="CY40" s="22">
        <f t="shared" si="479"/>
        <v>0</v>
      </c>
      <c r="CZ40" s="22"/>
      <c r="DA40" s="22">
        <f t="shared" si="480"/>
        <v>0</v>
      </c>
      <c r="DB40" s="22">
        <f t="shared" si="481"/>
        <v>0</v>
      </c>
      <c r="DC40" s="22"/>
      <c r="DD40" s="22">
        <f t="shared" si="482"/>
        <v>0</v>
      </c>
      <c r="DE40" s="22">
        <f t="shared" si="483"/>
        <v>0</v>
      </c>
      <c r="DF40" s="22"/>
      <c r="DG40" s="22">
        <f t="shared" si="484"/>
        <v>0</v>
      </c>
      <c r="DH40" s="22">
        <f t="shared" si="485"/>
        <v>0</v>
      </c>
      <c r="DI40" s="22"/>
      <c r="DJ40" s="22">
        <f t="shared" si="486"/>
        <v>0</v>
      </c>
      <c r="DK40" s="22">
        <f t="shared" si="487"/>
        <v>0</v>
      </c>
      <c r="DL40" s="22"/>
      <c r="DM40" s="22">
        <f t="shared" si="488"/>
        <v>0</v>
      </c>
      <c r="DN40" s="22">
        <f t="shared" si="489"/>
        <v>0</v>
      </c>
      <c r="DO40" s="22"/>
      <c r="DP40" s="22">
        <f t="shared" si="490"/>
        <v>0</v>
      </c>
      <c r="DQ40" s="22">
        <f t="shared" si="491"/>
        <v>0</v>
      </c>
      <c r="DR40" s="22"/>
      <c r="DS40" s="22">
        <f t="shared" si="492"/>
        <v>0</v>
      </c>
      <c r="DT40" s="22">
        <f t="shared" si="493"/>
        <v>0</v>
      </c>
      <c r="DU40" s="22"/>
      <c r="DV40" s="22">
        <f t="shared" si="494"/>
        <v>0</v>
      </c>
      <c r="DW40" s="22">
        <f t="shared" si="495"/>
        <v>0</v>
      </c>
      <c r="DX40" s="22"/>
      <c r="DY40" s="22">
        <f t="shared" si="496"/>
        <v>0</v>
      </c>
      <c r="DZ40" s="22">
        <f t="shared" si="497"/>
        <v>0</v>
      </c>
      <c r="EA40" s="22"/>
      <c r="EB40" s="22">
        <f t="shared" si="498"/>
        <v>0</v>
      </c>
      <c r="EC40" s="22">
        <f t="shared" si="499"/>
        <v>0</v>
      </c>
      <c r="ED40" s="22"/>
      <c r="EE40" s="22">
        <f t="shared" si="500"/>
        <v>0</v>
      </c>
      <c r="EF40" s="22">
        <f t="shared" si="501"/>
        <v>0</v>
      </c>
      <c r="EG40" s="22"/>
      <c r="EH40" s="22">
        <f t="shared" si="502"/>
        <v>0</v>
      </c>
      <c r="EI40" s="22">
        <f t="shared" si="503"/>
        <v>0</v>
      </c>
      <c r="EJ40" s="22"/>
      <c r="EK40" s="22">
        <f t="shared" si="504"/>
        <v>0</v>
      </c>
      <c r="EL40" s="22">
        <f t="shared" si="505"/>
        <v>0</v>
      </c>
      <c r="EM40" s="22"/>
      <c r="EN40" s="22">
        <f t="shared" si="506"/>
        <v>0</v>
      </c>
      <c r="EO40" s="22">
        <f t="shared" si="507"/>
        <v>0</v>
      </c>
    </row>
    <row r="41" spans="1:145">
      <c r="A41" s="15">
        <v>77</v>
      </c>
      <c r="B41" s="15" t="s">
        <v>459</v>
      </c>
      <c r="C41" s="16" t="s">
        <v>374</v>
      </c>
      <c r="D41" s="15" t="s">
        <v>460</v>
      </c>
      <c r="E41" s="15" t="s">
        <v>376</v>
      </c>
      <c r="F41" s="19">
        <f t="shared" si="369"/>
        <v>4</v>
      </c>
      <c r="G41" s="20"/>
      <c r="H41" s="21"/>
      <c r="I41" s="22">
        <f t="shared" si="416"/>
        <v>0</v>
      </c>
      <c r="J41" s="22">
        <f t="shared" si="417"/>
        <v>0</v>
      </c>
      <c r="K41" s="22"/>
      <c r="L41" s="22">
        <f t="shared" si="418"/>
        <v>0</v>
      </c>
      <c r="M41" s="22">
        <f t="shared" si="419"/>
        <v>0</v>
      </c>
      <c r="N41" s="22"/>
      <c r="O41" s="22">
        <f t="shared" si="420"/>
        <v>0</v>
      </c>
      <c r="P41" s="22">
        <f t="shared" si="421"/>
        <v>0</v>
      </c>
      <c r="Q41" s="22"/>
      <c r="R41" s="22">
        <f t="shared" si="422"/>
        <v>0</v>
      </c>
      <c r="S41" s="22">
        <f t="shared" si="423"/>
        <v>0</v>
      </c>
      <c r="T41" s="22"/>
      <c r="U41" s="22">
        <f t="shared" si="424"/>
        <v>0</v>
      </c>
      <c r="V41" s="22">
        <f t="shared" si="425"/>
        <v>0</v>
      </c>
      <c r="W41" s="22"/>
      <c r="X41" s="22">
        <f t="shared" si="426"/>
        <v>0</v>
      </c>
      <c r="Y41" s="22">
        <f t="shared" si="427"/>
        <v>0</v>
      </c>
      <c r="Z41" s="22"/>
      <c r="AA41" s="22">
        <f t="shared" si="428"/>
        <v>0</v>
      </c>
      <c r="AB41" s="22">
        <f t="shared" si="429"/>
        <v>0</v>
      </c>
      <c r="AC41" s="22"/>
      <c r="AD41" s="22">
        <f t="shared" si="430"/>
        <v>0</v>
      </c>
      <c r="AE41" s="22">
        <f t="shared" si="431"/>
        <v>0</v>
      </c>
      <c r="AF41" s="22"/>
      <c r="AG41" s="22">
        <f t="shared" si="432"/>
        <v>0</v>
      </c>
      <c r="AH41" s="22">
        <f t="shared" si="433"/>
        <v>0</v>
      </c>
      <c r="AI41" s="22"/>
      <c r="AJ41" s="22">
        <f t="shared" si="434"/>
        <v>0</v>
      </c>
      <c r="AK41" s="22">
        <f t="shared" si="435"/>
        <v>0</v>
      </c>
      <c r="AL41" s="22"/>
      <c r="AM41" s="22">
        <f t="shared" si="436"/>
        <v>0</v>
      </c>
      <c r="AN41" s="22">
        <f t="shared" si="437"/>
        <v>0</v>
      </c>
      <c r="AO41" s="22"/>
      <c r="AP41" s="22">
        <f t="shared" si="438"/>
        <v>0</v>
      </c>
      <c r="AQ41" s="22">
        <f t="shared" si="439"/>
        <v>0</v>
      </c>
      <c r="AR41" s="22"/>
      <c r="AS41" s="22">
        <f t="shared" si="440"/>
        <v>0</v>
      </c>
      <c r="AT41" s="22">
        <f t="shared" si="441"/>
        <v>0</v>
      </c>
      <c r="AU41" s="22"/>
      <c r="AV41" s="22">
        <f t="shared" si="442"/>
        <v>0</v>
      </c>
      <c r="AW41" s="22">
        <f t="shared" si="443"/>
        <v>0</v>
      </c>
      <c r="AX41" s="22"/>
      <c r="AY41" s="22">
        <f t="shared" si="444"/>
        <v>0</v>
      </c>
      <c r="AZ41" s="22">
        <f t="shared" si="445"/>
        <v>0</v>
      </c>
      <c r="BA41" s="22"/>
      <c r="BB41" s="22">
        <f t="shared" si="446"/>
        <v>0</v>
      </c>
      <c r="BC41" s="22">
        <f t="shared" si="447"/>
        <v>0</v>
      </c>
      <c r="BD41" s="22">
        <v>2</v>
      </c>
      <c r="BE41" s="22">
        <f t="shared" si="448"/>
        <v>2</v>
      </c>
      <c r="BF41" s="22">
        <f t="shared" si="449"/>
        <v>0</v>
      </c>
      <c r="BG41" s="22"/>
      <c r="BH41" s="22">
        <f t="shared" si="450"/>
        <v>0</v>
      </c>
      <c r="BI41" s="22">
        <f t="shared" si="451"/>
        <v>0</v>
      </c>
      <c r="BJ41" s="22"/>
      <c r="BK41" s="22">
        <f t="shared" si="452"/>
        <v>0</v>
      </c>
      <c r="BL41" s="22">
        <f t="shared" si="453"/>
        <v>0</v>
      </c>
      <c r="BM41" s="22"/>
      <c r="BN41" s="22">
        <f t="shared" si="454"/>
        <v>0</v>
      </c>
      <c r="BO41" s="22">
        <f t="shared" si="455"/>
        <v>0</v>
      </c>
      <c r="BP41" s="22"/>
      <c r="BQ41" s="22">
        <f t="shared" si="456"/>
        <v>0</v>
      </c>
      <c r="BR41" s="22">
        <f t="shared" si="457"/>
        <v>0</v>
      </c>
      <c r="BS41" s="22"/>
      <c r="BT41" s="22">
        <f t="shared" si="458"/>
        <v>0</v>
      </c>
      <c r="BU41" s="22">
        <f t="shared" si="459"/>
        <v>0</v>
      </c>
      <c r="BV41" s="22"/>
      <c r="BW41" s="22">
        <f t="shared" si="460"/>
        <v>0</v>
      </c>
      <c r="BX41" s="22">
        <f t="shared" si="461"/>
        <v>0</v>
      </c>
      <c r="BY41" s="22"/>
      <c r="BZ41" s="22">
        <f t="shared" si="462"/>
        <v>0</v>
      </c>
      <c r="CA41" s="22">
        <f t="shared" si="463"/>
        <v>0</v>
      </c>
      <c r="CB41" s="22"/>
      <c r="CC41" s="22">
        <f t="shared" si="464"/>
        <v>0</v>
      </c>
      <c r="CD41" s="22">
        <f t="shared" si="465"/>
        <v>0</v>
      </c>
      <c r="CE41" s="22"/>
      <c r="CF41" s="22">
        <f t="shared" si="466"/>
        <v>0</v>
      </c>
      <c r="CG41" s="22">
        <f t="shared" si="467"/>
        <v>0</v>
      </c>
      <c r="CH41" s="22"/>
      <c r="CI41" s="22">
        <f t="shared" si="468"/>
        <v>0</v>
      </c>
      <c r="CJ41" s="22">
        <f t="shared" si="469"/>
        <v>0</v>
      </c>
      <c r="CK41" s="22"/>
      <c r="CL41" s="22">
        <f t="shared" si="470"/>
        <v>0</v>
      </c>
      <c r="CM41" s="22">
        <f t="shared" si="471"/>
        <v>0</v>
      </c>
      <c r="CN41" s="22"/>
      <c r="CO41" s="22">
        <f t="shared" si="472"/>
        <v>0</v>
      </c>
      <c r="CP41" s="22">
        <f t="shared" si="473"/>
        <v>0</v>
      </c>
      <c r="CQ41" s="22"/>
      <c r="CR41" s="22">
        <f t="shared" si="474"/>
        <v>0</v>
      </c>
      <c r="CS41" s="22">
        <f t="shared" si="475"/>
        <v>0</v>
      </c>
      <c r="CT41" s="22"/>
      <c r="CU41" s="22">
        <f t="shared" si="476"/>
        <v>0</v>
      </c>
      <c r="CV41" s="22">
        <f t="shared" si="477"/>
        <v>0</v>
      </c>
      <c r="CW41" s="22"/>
      <c r="CX41" s="22">
        <f t="shared" si="478"/>
        <v>0</v>
      </c>
      <c r="CY41" s="22">
        <f t="shared" si="479"/>
        <v>0</v>
      </c>
      <c r="CZ41" s="22"/>
      <c r="DA41" s="22">
        <f t="shared" si="480"/>
        <v>0</v>
      </c>
      <c r="DB41" s="22">
        <f t="shared" si="481"/>
        <v>0</v>
      </c>
      <c r="DC41" s="22"/>
      <c r="DD41" s="22">
        <f t="shared" si="482"/>
        <v>0</v>
      </c>
      <c r="DE41" s="22">
        <f t="shared" si="483"/>
        <v>0</v>
      </c>
      <c r="DF41" s="22"/>
      <c r="DG41" s="22">
        <f t="shared" si="484"/>
        <v>0</v>
      </c>
      <c r="DH41" s="22">
        <f t="shared" si="485"/>
        <v>0</v>
      </c>
      <c r="DI41" s="22"/>
      <c r="DJ41" s="22">
        <f t="shared" si="486"/>
        <v>0</v>
      </c>
      <c r="DK41" s="22">
        <f t="shared" si="487"/>
        <v>0</v>
      </c>
      <c r="DL41" s="22">
        <v>1</v>
      </c>
      <c r="DM41" s="22">
        <f t="shared" si="488"/>
        <v>2</v>
      </c>
      <c r="DN41" s="22">
        <f t="shared" si="489"/>
        <v>0</v>
      </c>
      <c r="DO41" s="22"/>
      <c r="DP41" s="22">
        <f t="shared" si="490"/>
        <v>0</v>
      </c>
      <c r="DQ41" s="22">
        <f t="shared" si="491"/>
        <v>0</v>
      </c>
      <c r="DR41" s="22"/>
      <c r="DS41" s="22">
        <f t="shared" si="492"/>
        <v>0</v>
      </c>
      <c r="DT41" s="22">
        <f t="shared" si="493"/>
        <v>0</v>
      </c>
      <c r="DU41" s="22"/>
      <c r="DV41" s="22">
        <f t="shared" si="494"/>
        <v>0</v>
      </c>
      <c r="DW41" s="22">
        <f t="shared" si="495"/>
        <v>0</v>
      </c>
      <c r="DX41" s="22"/>
      <c r="DY41" s="22">
        <f t="shared" si="496"/>
        <v>0</v>
      </c>
      <c r="DZ41" s="22">
        <f t="shared" si="497"/>
        <v>0</v>
      </c>
      <c r="EA41" s="22"/>
      <c r="EB41" s="22">
        <f t="shared" si="498"/>
        <v>0</v>
      </c>
      <c r="EC41" s="22">
        <f t="shared" si="499"/>
        <v>0</v>
      </c>
      <c r="ED41" s="22"/>
      <c r="EE41" s="22">
        <f t="shared" si="500"/>
        <v>0</v>
      </c>
      <c r="EF41" s="22">
        <f t="shared" si="501"/>
        <v>0</v>
      </c>
      <c r="EG41" s="22"/>
      <c r="EH41" s="22">
        <f t="shared" si="502"/>
        <v>0</v>
      </c>
      <c r="EI41" s="22">
        <f t="shared" si="503"/>
        <v>0</v>
      </c>
      <c r="EJ41" s="22"/>
      <c r="EK41" s="22">
        <f t="shared" si="504"/>
        <v>0</v>
      </c>
      <c r="EL41" s="22">
        <f t="shared" si="505"/>
        <v>0</v>
      </c>
      <c r="EM41" s="22"/>
      <c r="EN41" s="22">
        <f t="shared" si="506"/>
        <v>0</v>
      </c>
      <c r="EO41" s="22">
        <f t="shared" si="507"/>
        <v>0</v>
      </c>
    </row>
    <row r="42" spans="1:145">
      <c r="A42" s="15">
        <v>78</v>
      </c>
      <c r="B42" s="15" t="s">
        <v>461</v>
      </c>
      <c r="C42" s="16" t="s">
        <v>378</v>
      </c>
      <c r="D42" s="16" t="s">
        <v>462</v>
      </c>
      <c r="E42" s="15" t="s">
        <v>399</v>
      </c>
      <c r="F42" s="19">
        <f t="shared" si="369"/>
        <v>1</v>
      </c>
      <c r="G42" s="20"/>
      <c r="H42" s="21"/>
      <c r="I42" s="22">
        <f t="shared" si="416"/>
        <v>0</v>
      </c>
      <c r="J42" s="22">
        <f t="shared" si="417"/>
        <v>0</v>
      </c>
      <c r="K42" s="22"/>
      <c r="L42" s="22">
        <f t="shared" si="418"/>
        <v>0</v>
      </c>
      <c r="M42" s="22">
        <f t="shared" si="419"/>
        <v>0</v>
      </c>
      <c r="N42" s="22"/>
      <c r="O42" s="22">
        <f t="shared" si="420"/>
        <v>0</v>
      </c>
      <c r="P42" s="22">
        <f t="shared" si="421"/>
        <v>0</v>
      </c>
      <c r="Q42" s="22"/>
      <c r="R42" s="22">
        <f t="shared" si="422"/>
        <v>0</v>
      </c>
      <c r="S42" s="22">
        <f t="shared" si="423"/>
        <v>0</v>
      </c>
      <c r="T42" s="22"/>
      <c r="U42" s="22">
        <f t="shared" si="424"/>
        <v>0</v>
      </c>
      <c r="V42" s="22">
        <f t="shared" si="425"/>
        <v>0</v>
      </c>
      <c r="W42" s="22"/>
      <c r="X42" s="22">
        <f t="shared" si="426"/>
        <v>0</v>
      </c>
      <c r="Y42" s="22">
        <f t="shared" si="427"/>
        <v>0</v>
      </c>
      <c r="Z42" s="22"/>
      <c r="AA42" s="22">
        <f t="shared" si="428"/>
        <v>0</v>
      </c>
      <c r="AB42" s="22">
        <f t="shared" si="429"/>
        <v>0</v>
      </c>
      <c r="AC42" s="22"/>
      <c r="AD42" s="22">
        <f t="shared" si="430"/>
        <v>0</v>
      </c>
      <c r="AE42" s="22">
        <f t="shared" si="431"/>
        <v>0</v>
      </c>
      <c r="AF42" s="22"/>
      <c r="AG42" s="22">
        <f t="shared" si="432"/>
        <v>0</v>
      </c>
      <c r="AH42" s="22">
        <f t="shared" si="433"/>
        <v>0</v>
      </c>
      <c r="AI42" s="22"/>
      <c r="AJ42" s="22">
        <f t="shared" si="434"/>
        <v>0</v>
      </c>
      <c r="AK42" s="22">
        <f t="shared" si="435"/>
        <v>0</v>
      </c>
      <c r="AL42" s="22"/>
      <c r="AM42" s="22">
        <f t="shared" si="436"/>
        <v>0</v>
      </c>
      <c r="AN42" s="22">
        <f t="shared" si="437"/>
        <v>0</v>
      </c>
      <c r="AO42" s="22"/>
      <c r="AP42" s="22">
        <f t="shared" si="438"/>
        <v>0</v>
      </c>
      <c r="AQ42" s="22">
        <f t="shared" si="439"/>
        <v>0</v>
      </c>
      <c r="AR42" s="22"/>
      <c r="AS42" s="22">
        <f t="shared" si="440"/>
        <v>0</v>
      </c>
      <c r="AT42" s="22">
        <f t="shared" si="441"/>
        <v>0</v>
      </c>
      <c r="AU42" s="22"/>
      <c r="AV42" s="22">
        <f t="shared" si="442"/>
        <v>0</v>
      </c>
      <c r="AW42" s="22">
        <f t="shared" si="443"/>
        <v>0</v>
      </c>
      <c r="AX42" s="22"/>
      <c r="AY42" s="22">
        <f t="shared" si="444"/>
        <v>0</v>
      </c>
      <c r="AZ42" s="22">
        <f t="shared" si="445"/>
        <v>0</v>
      </c>
      <c r="BA42" s="22"/>
      <c r="BB42" s="22">
        <f t="shared" si="446"/>
        <v>0</v>
      </c>
      <c r="BC42" s="22">
        <f t="shared" si="447"/>
        <v>0</v>
      </c>
      <c r="BD42" s="22"/>
      <c r="BE42" s="22">
        <f t="shared" si="448"/>
        <v>0</v>
      </c>
      <c r="BF42" s="22">
        <f t="shared" si="449"/>
        <v>0</v>
      </c>
      <c r="BG42" s="22">
        <v>1</v>
      </c>
      <c r="BH42" s="22">
        <f t="shared" si="450"/>
        <v>1</v>
      </c>
      <c r="BI42" s="22">
        <f t="shared" si="451"/>
        <v>0</v>
      </c>
      <c r="BJ42" s="22"/>
      <c r="BK42" s="22">
        <f t="shared" si="452"/>
        <v>0</v>
      </c>
      <c r="BL42" s="22">
        <f t="shared" si="453"/>
        <v>0</v>
      </c>
      <c r="BM42" s="22"/>
      <c r="BN42" s="22">
        <f t="shared" si="454"/>
        <v>0</v>
      </c>
      <c r="BO42" s="22">
        <f t="shared" si="455"/>
        <v>0</v>
      </c>
      <c r="BP42" s="22"/>
      <c r="BQ42" s="22">
        <f t="shared" si="456"/>
        <v>0</v>
      </c>
      <c r="BR42" s="22">
        <f t="shared" si="457"/>
        <v>0</v>
      </c>
      <c r="BS42" s="22"/>
      <c r="BT42" s="22">
        <f t="shared" si="458"/>
        <v>0</v>
      </c>
      <c r="BU42" s="22">
        <f t="shared" si="459"/>
        <v>0</v>
      </c>
      <c r="BV42" s="22"/>
      <c r="BW42" s="22">
        <f t="shared" si="460"/>
        <v>0</v>
      </c>
      <c r="BX42" s="22">
        <f t="shared" si="461"/>
        <v>0</v>
      </c>
      <c r="BY42" s="22"/>
      <c r="BZ42" s="22">
        <f t="shared" si="462"/>
        <v>0</v>
      </c>
      <c r="CA42" s="22">
        <f t="shared" si="463"/>
        <v>0</v>
      </c>
      <c r="CB42" s="22"/>
      <c r="CC42" s="22">
        <f t="shared" si="464"/>
        <v>0</v>
      </c>
      <c r="CD42" s="22">
        <f t="shared" si="465"/>
        <v>0</v>
      </c>
      <c r="CE42" s="22"/>
      <c r="CF42" s="22">
        <f t="shared" si="466"/>
        <v>0</v>
      </c>
      <c r="CG42" s="22">
        <f t="shared" si="467"/>
        <v>0</v>
      </c>
      <c r="CH42" s="22"/>
      <c r="CI42" s="22">
        <f t="shared" si="468"/>
        <v>0</v>
      </c>
      <c r="CJ42" s="22">
        <f t="shared" si="469"/>
        <v>0</v>
      </c>
      <c r="CK42" s="22"/>
      <c r="CL42" s="22">
        <f t="shared" si="470"/>
        <v>0</v>
      </c>
      <c r="CM42" s="22">
        <f t="shared" si="471"/>
        <v>0</v>
      </c>
      <c r="CN42" s="22"/>
      <c r="CO42" s="22">
        <f t="shared" si="472"/>
        <v>0</v>
      </c>
      <c r="CP42" s="22">
        <f t="shared" si="473"/>
        <v>0</v>
      </c>
      <c r="CQ42" s="22"/>
      <c r="CR42" s="22">
        <f t="shared" si="474"/>
        <v>0</v>
      </c>
      <c r="CS42" s="22">
        <f t="shared" si="475"/>
        <v>0</v>
      </c>
      <c r="CT42" s="22"/>
      <c r="CU42" s="22">
        <f t="shared" si="476"/>
        <v>0</v>
      </c>
      <c r="CV42" s="22">
        <f t="shared" si="477"/>
        <v>0</v>
      </c>
      <c r="CW42" s="22"/>
      <c r="CX42" s="22">
        <f t="shared" si="478"/>
        <v>0</v>
      </c>
      <c r="CY42" s="22">
        <f t="shared" si="479"/>
        <v>0</v>
      </c>
      <c r="CZ42" s="22"/>
      <c r="DA42" s="22">
        <f t="shared" si="480"/>
        <v>0</v>
      </c>
      <c r="DB42" s="22">
        <f t="shared" si="481"/>
        <v>0</v>
      </c>
      <c r="DC42" s="22"/>
      <c r="DD42" s="22">
        <f t="shared" si="482"/>
        <v>0</v>
      </c>
      <c r="DE42" s="22">
        <f t="shared" si="483"/>
        <v>0</v>
      </c>
      <c r="DF42" s="22"/>
      <c r="DG42" s="22">
        <f t="shared" si="484"/>
        <v>0</v>
      </c>
      <c r="DH42" s="22">
        <f t="shared" si="485"/>
        <v>0</v>
      </c>
      <c r="DI42" s="22"/>
      <c r="DJ42" s="22">
        <f t="shared" si="486"/>
        <v>0</v>
      </c>
      <c r="DK42" s="22">
        <f t="shared" si="487"/>
        <v>0</v>
      </c>
      <c r="DL42" s="22"/>
      <c r="DM42" s="22">
        <f t="shared" si="488"/>
        <v>0</v>
      </c>
      <c r="DN42" s="22">
        <f t="shared" si="489"/>
        <v>0</v>
      </c>
      <c r="DO42" s="22"/>
      <c r="DP42" s="22">
        <f t="shared" si="490"/>
        <v>0</v>
      </c>
      <c r="DQ42" s="22">
        <f t="shared" si="491"/>
        <v>0</v>
      </c>
      <c r="DR42" s="22"/>
      <c r="DS42" s="22">
        <f t="shared" si="492"/>
        <v>0</v>
      </c>
      <c r="DT42" s="22">
        <f t="shared" si="493"/>
        <v>0</v>
      </c>
      <c r="DU42" s="22"/>
      <c r="DV42" s="22">
        <f t="shared" si="494"/>
        <v>0</v>
      </c>
      <c r="DW42" s="22">
        <f t="shared" si="495"/>
        <v>0</v>
      </c>
      <c r="DX42" s="22"/>
      <c r="DY42" s="22">
        <f t="shared" si="496"/>
        <v>0</v>
      </c>
      <c r="DZ42" s="22">
        <f t="shared" si="497"/>
        <v>0</v>
      </c>
      <c r="EA42" s="22"/>
      <c r="EB42" s="22">
        <f t="shared" si="498"/>
        <v>0</v>
      </c>
      <c r="EC42" s="22">
        <f t="shared" si="499"/>
        <v>0</v>
      </c>
      <c r="ED42" s="22"/>
      <c r="EE42" s="22">
        <f t="shared" si="500"/>
        <v>0</v>
      </c>
      <c r="EF42" s="22">
        <f t="shared" si="501"/>
        <v>0</v>
      </c>
      <c r="EG42" s="22"/>
      <c r="EH42" s="22">
        <f t="shared" si="502"/>
        <v>0</v>
      </c>
      <c r="EI42" s="22">
        <f t="shared" si="503"/>
        <v>0</v>
      </c>
      <c r="EJ42" s="22"/>
      <c r="EK42" s="22">
        <f t="shared" si="504"/>
        <v>0</v>
      </c>
      <c r="EL42" s="22">
        <f t="shared" si="505"/>
        <v>0</v>
      </c>
      <c r="EM42" s="22"/>
      <c r="EN42" s="22">
        <f t="shared" si="506"/>
        <v>0</v>
      </c>
      <c r="EO42" s="22">
        <f t="shared" si="507"/>
        <v>0</v>
      </c>
    </row>
    <row r="43" spans="1:145">
      <c r="A43" s="15">
        <v>79</v>
      </c>
      <c r="B43" s="15" t="s">
        <v>463</v>
      </c>
      <c r="C43" s="16" t="s">
        <v>397</v>
      </c>
      <c r="D43" s="15" t="s">
        <v>464</v>
      </c>
      <c r="E43" s="15" t="s">
        <v>399</v>
      </c>
      <c r="F43" s="19">
        <f t="shared" si="369"/>
        <v>9</v>
      </c>
      <c r="G43" s="20"/>
      <c r="H43" s="21"/>
      <c r="I43" s="22">
        <f t="shared" si="416"/>
        <v>0</v>
      </c>
      <c r="J43" s="22">
        <f t="shared" si="417"/>
        <v>0</v>
      </c>
      <c r="K43" s="22"/>
      <c r="L43" s="22">
        <f t="shared" si="418"/>
        <v>0</v>
      </c>
      <c r="M43" s="22">
        <f t="shared" si="419"/>
        <v>0</v>
      </c>
      <c r="N43" s="22"/>
      <c r="O43" s="22">
        <f t="shared" si="420"/>
        <v>0</v>
      </c>
      <c r="P43" s="22">
        <f t="shared" si="421"/>
        <v>0</v>
      </c>
      <c r="Q43" s="22"/>
      <c r="R43" s="22">
        <f t="shared" si="422"/>
        <v>0</v>
      </c>
      <c r="S43" s="22">
        <f t="shared" si="423"/>
        <v>0</v>
      </c>
      <c r="T43" s="22"/>
      <c r="U43" s="22">
        <f t="shared" si="424"/>
        <v>0</v>
      </c>
      <c r="V43" s="22">
        <f t="shared" si="425"/>
        <v>0</v>
      </c>
      <c r="W43" s="22"/>
      <c r="X43" s="22">
        <f t="shared" si="426"/>
        <v>0</v>
      </c>
      <c r="Y43" s="22">
        <f t="shared" si="427"/>
        <v>0</v>
      </c>
      <c r="Z43" s="22"/>
      <c r="AA43" s="22">
        <f t="shared" si="428"/>
        <v>0</v>
      </c>
      <c r="AB43" s="22">
        <f t="shared" si="429"/>
        <v>0</v>
      </c>
      <c r="AC43" s="22"/>
      <c r="AD43" s="22">
        <f t="shared" si="430"/>
        <v>0</v>
      </c>
      <c r="AE43" s="22">
        <f t="shared" si="431"/>
        <v>0</v>
      </c>
      <c r="AF43" s="22"/>
      <c r="AG43" s="22">
        <f t="shared" si="432"/>
        <v>0</v>
      </c>
      <c r="AH43" s="22">
        <f t="shared" si="433"/>
        <v>0</v>
      </c>
      <c r="AI43" s="22"/>
      <c r="AJ43" s="22">
        <f t="shared" si="434"/>
        <v>0</v>
      </c>
      <c r="AK43" s="22">
        <f t="shared" si="435"/>
        <v>0</v>
      </c>
      <c r="AL43" s="22"/>
      <c r="AM43" s="22">
        <f t="shared" si="436"/>
        <v>0</v>
      </c>
      <c r="AN43" s="22">
        <f t="shared" si="437"/>
        <v>0</v>
      </c>
      <c r="AO43" s="22"/>
      <c r="AP43" s="22">
        <f t="shared" si="438"/>
        <v>0</v>
      </c>
      <c r="AQ43" s="22">
        <f t="shared" si="439"/>
        <v>0</v>
      </c>
      <c r="AR43" s="22"/>
      <c r="AS43" s="22">
        <f t="shared" si="440"/>
        <v>0</v>
      </c>
      <c r="AT43" s="22">
        <f t="shared" si="441"/>
        <v>0</v>
      </c>
      <c r="AU43" s="22"/>
      <c r="AV43" s="22">
        <f t="shared" si="442"/>
        <v>0</v>
      </c>
      <c r="AW43" s="22">
        <f t="shared" si="443"/>
        <v>0</v>
      </c>
      <c r="AX43" s="22"/>
      <c r="AY43" s="22">
        <f t="shared" si="444"/>
        <v>0</v>
      </c>
      <c r="AZ43" s="22">
        <f t="shared" si="445"/>
        <v>0</v>
      </c>
      <c r="BA43" s="22"/>
      <c r="BB43" s="22">
        <f t="shared" si="446"/>
        <v>0</v>
      </c>
      <c r="BC43" s="22">
        <f t="shared" si="447"/>
        <v>0</v>
      </c>
      <c r="BD43" s="22"/>
      <c r="BE43" s="22">
        <f t="shared" si="448"/>
        <v>0</v>
      </c>
      <c r="BF43" s="22">
        <f t="shared" si="449"/>
        <v>0</v>
      </c>
      <c r="BG43" s="22">
        <v>1</v>
      </c>
      <c r="BH43" s="22">
        <f t="shared" si="450"/>
        <v>1</v>
      </c>
      <c r="BI43" s="22">
        <f t="shared" si="451"/>
        <v>0</v>
      </c>
      <c r="BJ43" s="22">
        <v>1</v>
      </c>
      <c r="BK43" s="22">
        <f t="shared" si="452"/>
        <v>0</v>
      </c>
      <c r="BL43" s="22">
        <f t="shared" si="453"/>
        <v>0</v>
      </c>
      <c r="BM43" s="22">
        <v>1</v>
      </c>
      <c r="BN43" s="22">
        <f t="shared" si="454"/>
        <v>2</v>
      </c>
      <c r="BO43" s="22">
        <f t="shared" si="455"/>
        <v>0</v>
      </c>
      <c r="BP43" s="22"/>
      <c r="BQ43" s="22">
        <f t="shared" si="456"/>
        <v>0</v>
      </c>
      <c r="BR43" s="22">
        <f t="shared" si="457"/>
        <v>0</v>
      </c>
      <c r="BS43" s="22"/>
      <c r="BT43" s="22">
        <f t="shared" si="458"/>
        <v>0</v>
      </c>
      <c r="BU43" s="22">
        <f t="shared" si="459"/>
        <v>0</v>
      </c>
      <c r="BV43" s="22"/>
      <c r="BW43" s="22">
        <f t="shared" si="460"/>
        <v>0</v>
      </c>
      <c r="BX43" s="22">
        <f t="shared" si="461"/>
        <v>0</v>
      </c>
      <c r="BY43" s="22"/>
      <c r="BZ43" s="22">
        <f t="shared" si="462"/>
        <v>0</v>
      </c>
      <c r="CA43" s="22">
        <f t="shared" si="463"/>
        <v>0</v>
      </c>
      <c r="CB43" s="22"/>
      <c r="CC43" s="22">
        <f t="shared" si="464"/>
        <v>0</v>
      </c>
      <c r="CD43" s="22">
        <f t="shared" si="465"/>
        <v>0</v>
      </c>
      <c r="CE43" s="22">
        <v>1</v>
      </c>
      <c r="CF43" s="22">
        <f t="shared" si="466"/>
        <v>1</v>
      </c>
      <c r="CG43" s="22">
        <f t="shared" si="467"/>
        <v>0</v>
      </c>
      <c r="CH43" s="22">
        <v>1</v>
      </c>
      <c r="CI43" s="22">
        <f t="shared" si="468"/>
        <v>1</v>
      </c>
      <c r="CJ43" s="22">
        <f t="shared" si="469"/>
        <v>0</v>
      </c>
      <c r="CK43" s="22">
        <v>1</v>
      </c>
      <c r="CL43" s="22">
        <f t="shared" si="470"/>
        <v>2</v>
      </c>
      <c r="CM43" s="22">
        <f t="shared" si="471"/>
        <v>0</v>
      </c>
      <c r="CN43" s="22">
        <v>1</v>
      </c>
      <c r="CO43" s="22">
        <f t="shared" si="472"/>
        <v>2</v>
      </c>
      <c r="CP43" s="22">
        <f t="shared" si="473"/>
        <v>0</v>
      </c>
      <c r="CQ43" s="22"/>
      <c r="CR43" s="22">
        <f t="shared" si="474"/>
        <v>0</v>
      </c>
      <c r="CS43" s="22">
        <f t="shared" si="475"/>
        <v>0</v>
      </c>
      <c r="CT43" s="22"/>
      <c r="CU43" s="22">
        <f t="shared" si="476"/>
        <v>0</v>
      </c>
      <c r="CV43" s="22">
        <f t="shared" si="477"/>
        <v>0</v>
      </c>
      <c r="CW43" s="22"/>
      <c r="CX43" s="22">
        <f t="shared" si="478"/>
        <v>0</v>
      </c>
      <c r="CY43" s="22">
        <f t="shared" si="479"/>
        <v>0</v>
      </c>
      <c r="CZ43" s="22"/>
      <c r="DA43" s="22">
        <f t="shared" si="480"/>
        <v>0</v>
      </c>
      <c r="DB43" s="22">
        <f t="shared" si="481"/>
        <v>0</v>
      </c>
      <c r="DC43" s="22"/>
      <c r="DD43" s="22">
        <f t="shared" si="482"/>
        <v>0</v>
      </c>
      <c r="DE43" s="22">
        <f t="shared" si="483"/>
        <v>0</v>
      </c>
      <c r="DF43" s="22"/>
      <c r="DG43" s="22">
        <f t="shared" si="484"/>
        <v>0</v>
      </c>
      <c r="DH43" s="22">
        <f t="shared" si="485"/>
        <v>0</v>
      </c>
      <c r="DI43" s="22"/>
      <c r="DJ43" s="22">
        <f t="shared" si="486"/>
        <v>0</v>
      </c>
      <c r="DK43" s="22">
        <f t="shared" si="487"/>
        <v>0</v>
      </c>
      <c r="DL43" s="22"/>
      <c r="DM43" s="22">
        <f t="shared" si="488"/>
        <v>0</v>
      </c>
      <c r="DN43" s="22">
        <f t="shared" si="489"/>
        <v>0</v>
      </c>
      <c r="DO43" s="22"/>
      <c r="DP43" s="22">
        <f t="shared" si="490"/>
        <v>0</v>
      </c>
      <c r="DQ43" s="22">
        <f t="shared" si="491"/>
        <v>0</v>
      </c>
      <c r="DR43" s="22"/>
      <c r="DS43" s="22">
        <f t="shared" si="492"/>
        <v>0</v>
      </c>
      <c r="DT43" s="22">
        <f t="shared" si="493"/>
        <v>0</v>
      </c>
      <c r="DU43" s="22"/>
      <c r="DV43" s="22">
        <f t="shared" si="494"/>
        <v>0</v>
      </c>
      <c r="DW43" s="22">
        <f t="shared" si="495"/>
        <v>0</v>
      </c>
      <c r="DX43" s="22"/>
      <c r="DY43" s="22">
        <f t="shared" si="496"/>
        <v>0</v>
      </c>
      <c r="DZ43" s="22">
        <f t="shared" si="497"/>
        <v>0</v>
      </c>
      <c r="EA43" s="22"/>
      <c r="EB43" s="22">
        <f t="shared" si="498"/>
        <v>0</v>
      </c>
      <c r="EC43" s="22">
        <f t="shared" si="499"/>
        <v>0</v>
      </c>
      <c r="ED43" s="22"/>
      <c r="EE43" s="22">
        <f t="shared" si="500"/>
        <v>0</v>
      </c>
      <c r="EF43" s="22">
        <f t="shared" si="501"/>
        <v>0</v>
      </c>
      <c r="EG43" s="22"/>
      <c r="EH43" s="22">
        <f t="shared" si="502"/>
        <v>0</v>
      </c>
      <c r="EI43" s="22">
        <f t="shared" si="503"/>
        <v>0</v>
      </c>
      <c r="EJ43" s="22"/>
      <c r="EK43" s="22">
        <f t="shared" si="504"/>
        <v>0</v>
      </c>
      <c r="EL43" s="22">
        <f t="shared" si="505"/>
        <v>0</v>
      </c>
      <c r="EM43" s="22"/>
      <c r="EN43" s="22">
        <f t="shared" si="506"/>
        <v>0</v>
      </c>
      <c r="EO43" s="22">
        <f t="shared" si="507"/>
        <v>0</v>
      </c>
    </row>
    <row r="44" spans="1:145">
      <c r="A44" s="15">
        <v>80</v>
      </c>
      <c r="B44" s="15" t="s">
        <v>465</v>
      </c>
      <c r="C44" s="16" t="s">
        <v>466</v>
      </c>
      <c r="D44" s="16" t="s">
        <v>467</v>
      </c>
      <c r="E44" s="15" t="s">
        <v>384</v>
      </c>
      <c r="F44" s="19">
        <f t="shared" si="369"/>
        <v>2</v>
      </c>
      <c r="G44" s="20"/>
      <c r="H44" s="21"/>
      <c r="I44" s="22">
        <f t="shared" si="416"/>
        <v>0</v>
      </c>
      <c r="J44" s="22">
        <f t="shared" si="417"/>
        <v>0</v>
      </c>
      <c r="K44" s="22"/>
      <c r="L44" s="22">
        <f t="shared" si="418"/>
        <v>0</v>
      </c>
      <c r="M44" s="22">
        <f t="shared" si="419"/>
        <v>0</v>
      </c>
      <c r="N44" s="22"/>
      <c r="O44" s="22">
        <f t="shared" si="420"/>
        <v>0</v>
      </c>
      <c r="P44" s="22">
        <f t="shared" si="421"/>
        <v>0</v>
      </c>
      <c r="Q44" s="22"/>
      <c r="R44" s="22">
        <f t="shared" si="422"/>
        <v>0</v>
      </c>
      <c r="S44" s="22">
        <f t="shared" si="423"/>
        <v>0</v>
      </c>
      <c r="T44" s="22"/>
      <c r="U44" s="22">
        <f t="shared" si="424"/>
        <v>0</v>
      </c>
      <c r="V44" s="22">
        <f t="shared" si="425"/>
        <v>0</v>
      </c>
      <c r="W44" s="22"/>
      <c r="X44" s="22">
        <f t="shared" si="426"/>
        <v>0</v>
      </c>
      <c r="Y44" s="22">
        <f t="shared" si="427"/>
        <v>0</v>
      </c>
      <c r="Z44" s="22"/>
      <c r="AA44" s="22">
        <f t="shared" si="428"/>
        <v>0</v>
      </c>
      <c r="AB44" s="22">
        <f t="shared" si="429"/>
        <v>0</v>
      </c>
      <c r="AC44" s="22"/>
      <c r="AD44" s="22">
        <f t="shared" si="430"/>
        <v>0</v>
      </c>
      <c r="AE44" s="22">
        <f t="shared" si="431"/>
        <v>0</v>
      </c>
      <c r="AF44" s="22"/>
      <c r="AG44" s="22">
        <f t="shared" si="432"/>
        <v>0</v>
      </c>
      <c r="AH44" s="22">
        <f t="shared" si="433"/>
        <v>0</v>
      </c>
      <c r="AI44" s="22"/>
      <c r="AJ44" s="22">
        <f t="shared" si="434"/>
        <v>0</v>
      </c>
      <c r="AK44" s="22">
        <f t="shared" si="435"/>
        <v>0</v>
      </c>
      <c r="AL44" s="22"/>
      <c r="AM44" s="22">
        <f t="shared" si="436"/>
        <v>0</v>
      </c>
      <c r="AN44" s="22">
        <f t="shared" si="437"/>
        <v>0</v>
      </c>
      <c r="AO44" s="22"/>
      <c r="AP44" s="22">
        <f t="shared" si="438"/>
        <v>0</v>
      </c>
      <c r="AQ44" s="22">
        <f t="shared" si="439"/>
        <v>0</v>
      </c>
      <c r="AR44" s="22"/>
      <c r="AS44" s="22">
        <f t="shared" si="440"/>
        <v>0</v>
      </c>
      <c r="AT44" s="22">
        <f t="shared" si="441"/>
        <v>0</v>
      </c>
      <c r="AU44" s="22"/>
      <c r="AV44" s="22">
        <f t="shared" si="442"/>
        <v>0</v>
      </c>
      <c r="AW44" s="22">
        <f t="shared" si="443"/>
        <v>0</v>
      </c>
      <c r="AX44" s="22"/>
      <c r="AY44" s="22">
        <f t="shared" si="444"/>
        <v>0</v>
      </c>
      <c r="AZ44" s="22">
        <f t="shared" si="445"/>
        <v>0</v>
      </c>
      <c r="BA44" s="22"/>
      <c r="BB44" s="22">
        <f t="shared" si="446"/>
        <v>0</v>
      </c>
      <c r="BC44" s="22">
        <f t="shared" si="447"/>
        <v>0</v>
      </c>
      <c r="BD44" s="22"/>
      <c r="BE44" s="22">
        <f t="shared" si="448"/>
        <v>0</v>
      </c>
      <c r="BF44" s="22">
        <f t="shared" si="449"/>
        <v>0</v>
      </c>
      <c r="BG44" s="22">
        <v>2</v>
      </c>
      <c r="BH44" s="22">
        <f t="shared" si="450"/>
        <v>2</v>
      </c>
      <c r="BI44" s="22">
        <f t="shared" si="451"/>
        <v>0</v>
      </c>
      <c r="BJ44" s="22"/>
      <c r="BK44" s="22">
        <f t="shared" si="452"/>
        <v>0</v>
      </c>
      <c r="BL44" s="22">
        <f t="shared" si="453"/>
        <v>0</v>
      </c>
      <c r="BM44" s="22"/>
      <c r="BN44" s="22">
        <f t="shared" si="454"/>
        <v>0</v>
      </c>
      <c r="BO44" s="22">
        <f t="shared" si="455"/>
        <v>0</v>
      </c>
      <c r="BP44" s="22"/>
      <c r="BQ44" s="22">
        <f t="shared" si="456"/>
        <v>0</v>
      </c>
      <c r="BR44" s="22">
        <f t="shared" si="457"/>
        <v>0</v>
      </c>
      <c r="BS44" s="22"/>
      <c r="BT44" s="22">
        <f t="shared" si="458"/>
        <v>0</v>
      </c>
      <c r="BU44" s="22">
        <f t="shared" si="459"/>
        <v>0</v>
      </c>
      <c r="BV44" s="22"/>
      <c r="BW44" s="22">
        <f t="shared" si="460"/>
        <v>0</v>
      </c>
      <c r="BX44" s="22">
        <f t="shared" si="461"/>
        <v>0</v>
      </c>
      <c r="BY44" s="22"/>
      <c r="BZ44" s="22">
        <f t="shared" si="462"/>
        <v>0</v>
      </c>
      <c r="CA44" s="22">
        <f t="shared" si="463"/>
        <v>0</v>
      </c>
      <c r="CB44" s="22"/>
      <c r="CC44" s="22">
        <f t="shared" si="464"/>
        <v>0</v>
      </c>
      <c r="CD44" s="22">
        <f t="shared" si="465"/>
        <v>0</v>
      </c>
      <c r="CE44" s="22"/>
      <c r="CF44" s="22">
        <f t="shared" si="466"/>
        <v>0</v>
      </c>
      <c r="CG44" s="22">
        <f t="shared" si="467"/>
        <v>0</v>
      </c>
      <c r="CH44" s="22"/>
      <c r="CI44" s="22">
        <f t="shared" si="468"/>
        <v>0</v>
      </c>
      <c r="CJ44" s="22">
        <f t="shared" si="469"/>
        <v>0</v>
      </c>
      <c r="CK44" s="22"/>
      <c r="CL44" s="22">
        <f t="shared" si="470"/>
        <v>0</v>
      </c>
      <c r="CM44" s="22">
        <f t="shared" si="471"/>
        <v>0</v>
      </c>
      <c r="CN44" s="22"/>
      <c r="CO44" s="22">
        <f t="shared" si="472"/>
        <v>0</v>
      </c>
      <c r="CP44" s="22">
        <f t="shared" si="473"/>
        <v>0</v>
      </c>
      <c r="CQ44" s="22"/>
      <c r="CR44" s="22">
        <f t="shared" si="474"/>
        <v>0</v>
      </c>
      <c r="CS44" s="22">
        <f t="shared" si="475"/>
        <v>0</v>
      </c>
      <c r="CT44" s="22"/>
      <c r="CU44" s="22">
        <f t="shared" si="476"/>
        <v>0</v>
      </c>
      <c r="CV44" s="22">
        <f t="shared" si="477"/>
        <v>0</v>
      </c>
      <c r="CW44" s="22"/>
      <c r="CX44" s="22">
        <f t="shared" si="478"/>
        <v>0</v>
      </c>
      <c r="CY44" s="22">
        <f t="shared" si="479"/>
        <v>0</v>
      </c>
      <c r="CZ44" s="22"/>
      <c r="DA44" s="22">
        <f t="shared" si="480"/>
        <v>0</v>
      </c>
      <c r="DB44" s="22">
        <f t="shared" si="481"/>
        <v>0</v>
      </c>
      <c r="DC44" s="22"/>
      <c r="DD44" s="22">
        <f t="shared" si="482"/>
        <v>0</v>
      </c>
      <c r="DE44" s="22">
        <f t="shared" si="483"/>
        <v>0</v>
      </c>
      <c r="DF44" s="22"/>
      <c r="DG44" s="22">
        <f t="shared" si="484"/>
        <v>0</v>
      </c>
      <c r="DH44" s="22">
        <f t="shared" si="485"/>
        <v>0</v>
      </c>
      <c r="DI44" s="22"/>
      <c r="DJ44" s="22">
        <f t="shared" si="486"/>
        <v>0</v>
      </c>
      <c r="DK44" s="22">
        <f t="shared" si="487"/>
        <v>0</v>
      </c>
      <c r="DL44" s="22"/>
      <c r="DM44" s="22">
        <f t="shared" si="488"/>
        <v>0</v>
      </c>
      <c r="DN44" s="22">
        <f t="shared" si="489"/>
        <v>0</v>
      </c>
      <c r="DO44" s="22"/>
      <c r="DP44" s="22">
        <f t="shared" si="490"/>
        <v>0</v>
      </c>
      <c r="DQ44" s="22">
        <f t="shared" si="491"/>
        <v>0</v>
      </c>
      <c r="DR44" s="22"/>
      <c r="DS44" s="22">
        <f t="shared" si="492"/>
        <v>0</v>
      </c>
      <c r="DT44" s="22">
        <f t="shared" si="493"/>
        <v>0</v>
      </c>
      <c r="DU44" s="22"/>
      <c r="DV44" s="22">
        <f t="shared" si="494"/>
        <v>0</v>
      </c>
      <c r="DW44" s="22">
        <f t="shared" si="495"/>
        <v>0</v>
      </c>
      <c r="DX44" s="22"/>
      <c r="DY44" s="22">
        <f t="shared" si="496"/>
        <v>0</v>
      </c>
      <c r="DZ44" s="22">
        <f t="shared" si="497"/>
        <v>0</v>
      </c>
      <c r="EA44" s="22"/>
      <c r="EB44" s="22">
        <f t="shared" si="498"/>
        <v>0</v>
      </c>
      <c r="EC44" s="22">
        <f t="shared" si="499"/>
        <v>0</v>
      </c>
      <c r="ED44" s="22"/>
      <c r="EE44" s="22">
        <f t="shared" si="500"/>
        <v>0</v>
      </c>
      <c r="EF44" s="22">
        <f t="shared" si="501"/>
        <v>0</v>
      </c>
      <c r="EG44" s="22"/>
      <c r="EH44" s="22">
        <f t="shared" si="502"/>
        <v>0</v>
      </c>
      <c r="EI44" s="22">
        <f t="shared" si="503"/>
        <v>0</v>
      </c>
      <c r="EJ44" s="22"/>
      <c r="EK44" s="22">
        <f t="shared" si="504"/>
        <v>0</v>
      </c>
      <c r="EL44" s="22">
        <f t="shared" si="505"/>
        <v>0</v>
      </c>
      <c r="EM44" s="22"/>
      <c r="EN44" s="22">
        <f t="shared" si="506"/>
        <v>0</v>
      </c>
      <c r="EO44" s="22">
        <f t="shared" si="507"/>
        <v>0</v>
      </c>
    </row>
    <row r="45" spans="1:145">
      <c r="A45" s="15">
        <v>81</v>
      </c>
      <c r="B45" s="15" t="s">
        <v>468</v>
      </c>
      <c r="C45" s="15" t="s">
        <v>469</v>
      </c>
      <c r="D45" s="15" t="s">
        <v>470</v>
      </c>
      <c r="E45" s="15" t="s">
        <v>380</v>
      </c>
      <c r="F45" s="19">
        <f t="shared" si="369"/>
        <v>23</v>
      </c>
      <c r="G45" s="20"/>
      <c r="H45" s="21"/>
      <c r="I45" s="22">
        <f t="shared" si="416"/>
        <v>0</v>
      </c>
      <c r="J45" s="22">
        <f t="shared" si="417"/>
        <v>0</v>
      </c>
      <c r="K45" s="22"/>
      <c r="L45" s="22">
        <f t="shared" si="418"/>
        <v>0</v>
      </c>
      <c r="M45" s="22">
        <f t="shared" si="419"/>
        <v>0</v>
      </c>
      <c r="N45" s="22"/>
      <c r="O45" s="22">
        <f t="shared" si="420"/>
        <v>0</v>
      </c>
      <c r="P45" s="22">
        <f t="shared" si="421"/>
        <v>0</v>
      </c>
      <c r="Q45" s="22"/>
      <c r="R45" s="22">
        <f t="shared" si="422"/>
        <v>0</v>
      </c>
      <c r="S45" s="22">
        <f t="shared" si="423"/>
        <v>0</v>
      </c>
      <c r="T45" s="22"/>
      <c r="U45" s="22">
        <f t="shared" si="424"/>
        <v>0</v>
      </c>
      <c r="V45" s="22">
        <f t="shared" si="425"/>
        <v>0</v>
      </c>
      <c r="W45" s="22"/>
      <c r="X45" s="22">
        <f t="shared" si="426"/>
        <v>0</v>
      </c>
      <c r="Y45" s="22">
        <f t="shared" si="427"/>
        <v>0</v>
      </c>
      <c r="Z45" s="22"/>
      <c r="AA45" s="22">
        <f t="shared" si="428"/>
        <v>0</v>
      </c>
      <c r="AB45" s="22">
        <f t="shared" si="429"/>
        <v>0</v>
      </c>
      <c r="AC45" s="22"/>
      <c r="AD45" s="22">
        <f t="shared" si="430"/>
        <v>0</v>
      </c>
      <c r="AE45" s="22">
        <f t="shared" si="431"/>
        <v>0</v>
      </c>
      <c r="AF45" s="22"/>
      <c r="AG45" s="22">
        <f t="shared" si="432"/>
        <v>0</v>
      </c>
      <c r="AH45" s="22">
        <f t="shared" si="433"/>
        <v>0</v>
      </c>
      <c r="AI45" s="22"/>
      <c r="AJ45" s="22">
        <f t="shared" si="434"/>
        <v>0</v>
      </c>
      <c r="AK45" s="22">
        <f t="shared" si="435"/>
        <v>0</v>
      </c>
      <c r="AL45" s="22"/>
      <c r="AM45" s="22">
        <f t="shared" si="436"/>
        <v>0</v>
      </c>
      <c r="AN45" s="22">
        <f t="shared" si="437"/>
        <v>0</v>
      </c>
      <c r="AO45" s="22"/>
      <c r="AP45" s="22">
        <f t="shared" si="438"/>
        <v>0</v>
      </c>
      <c r="AQ45" s="22">
        <f t="shared" si="439"/>
        <v>0</v>
      </c>
      <c r="AR45" s="22"/>
      <c r="AS45" s="22">
        <f t="shared" si="440"/>
        <v>0</v>
      </c>
      <c r="AT45" s="22">
        <f t="shared" si="441"/>
        <v>0</v>
      </c>
      <c r="AU45" s="22"/>
      <c r="AV45" s="22">
        <f t="shared" si="442"/>
        <v>0</v>
      </c>
      <c r="AW45" s="22">
        <f t="shared" si="443"/>
        <v>0</v>
      </c>
      <c r="AX45" s="22"/>
      <c r="AY45" s="22">
        <f t="shared" si="444"/>
        <v>0</v>
      </c>
      <c r="AZ45" s="22">
        <f t="shared" si="445"/>
        <v>0</v>
      </c>
      <c r="BA45" s="22"/>
      <c r="BB45" s="22">
        <f t="shared" si="446"/>
        <v>0</v>
      </c>
      <c r="BC45" s="22">
        <f t="shared" si="447"/>
        <v>0</v>
      </c>
      <c r="BD45" s="22"/>
      <c r="BE45" s="22">
        <f t="shared" si="448"/>
        <v>0</v>
      </c>
      <c r="BF45" s="22">
        <f t="shared" si="449"/>
        <v>0</v>
      </c>
      <c r="BG45" s="22"/>
      <c r="BH45" s="22">
        <f t="shared" si="450"/>
        <v>0</v>
      </c>
      <c r="BI45" s="22">
        <f t="shared" si="451"/>
        <v>0</v>
      </c>
      <c r="BJ45" s="22">
        <v>2</v>
      </c>
      <c r="BK45" s="22">
        <f t="shared" si="452"/>
        <v>0</v>
      </c>
      <c r="BL45" s="22">
        <f t="shared" si="453"/>
        <v>0</v>
      </c>
      <c r="BM45" s="22">
        <v>1</v>
      </c>
      <c r="BN45" s="22">
        <f t="shared" si="454"/>
        <v>2</v>
      </c>
      <c r="BO45" s="22">
        <f t="shared" si="455"/>
        <v>0</v>
      </c>
      <c r="BP45" s="22"/>
      <c r="BQ45" s="22">
        <f t="shared" si="456"/>
        <v>0</v>
      </c>
      <c r="BR45" s="22">
        <f t="shared" si="457"/>
        <v>0</v>
      </c>
      <c r="BS45" s="22"/>
      <c r="BT45" s="22">
        <f t="shared" si="458"/>
        <v>0</v>
      </c>
      <c r="BU45" s="22">
        <f t="shared" si="459"/>
        <v>0</v>
      </c>
      <c r="BV45" s="22">
        <v>1</v>
      </c>
      <c r="BW45" s="22">
        <f t="shared" si="460"/>
        <v>0</v>
      </c>
      <c r="BX45" s="22">
        <f t="shared" si="461"/>
        <v>0</v>
      </c>
      <c r="BY45" s="22">
        <v>1</v>
      </c>
      <c r="BZ45" s="22">
        <f t="shared" si="462"/>
        <v>12</v>
      </c>
      <c r="CA45" s="22">
        <f t="shared" si="463"/>
        <v>0</v>
      </c>
      <c r="CB45" s="22"/>
      <c r="CC45" s="22">
        <f t="shared" si="464"/>
        <v>0</v>
      </c>
      <c r="CD45" s="22">
        <f t="shared" si="465"/>
        <v>0</v>
      </c>
      <c r="CE45" s="22"/>
      <c r="CF45" s="22">
        <f t="shared" si="466"/>
        <v>0</v>
      </c>
      <c r="CG45" s="22">
        <f t="shared" si="467"/>
        <v>0</v>
      </c>
      <c r="CH45" s="22"/>
      <c r="CI45" s="22">
        <f t="shared" si="468"/>
        <v>0</v>
      </c>
      <c r="CJ45" s="22">
        <f t="shared" si="469"/>
        <v>0</v>
      </c>
      <c r="CK45" s="22">
        <v>1</v>
      </c>
      <c r="CL45" s="22">
        <f t="shared" si="470"/>
        <v>2</v>
      </c>
      <c r="CM45" s="22">
        <f t="shared" si="471"/>
        <v>0</v>
      </c>
      <c r="CN45" s="22"/>
      <c r="CO45" s="22">
        <f t="shared" si="472"/>
        <v>0</v>
      </c>
      <c r="CP45" s="22">
        <f t="shared" si="473"/>
        <v>0</v>
      </c>
      <c r="CQ45" s="22"/>
      <c r="CR45" s="22">
        <f t="shared" si="474"/>
        <v>0</v>
      </c>
      <c r="CS45" s="22">
        <f t="shared" si="475"/>
        <v>0</v>
      </c>
      <c r="CT45" s="22"/>
      <c r="CU45" s="22">
        <f t="shared" si="476"/>
        <v>0</v>
      </c>
      <c r="CV45" s="22">
        <f t="shared" si="477"/>
        <v>0</v>
      </c>
      <c r="CW45" s="22"/>
      <c r="CX45" s="22">
        <f t="shared" si="478"/>
        <v>0</v>
      </c>
      <c r="CY45" s="22">
        <f t="shared" si="479"/>
        <v>0</v>
      </c>
      <c r="CZ45" s="22"/>
      <c r="DA45" s="22">
        <f t="shared" si="480"/>
        <v>0</v>
      </c>
      <c r="DB45" s="22">
        <f t="shared" si="481"/>
        <v>0</v>
      </c>
      <c r="DC45" s="22">
        <v>1</v>
      </c>
      <c r="DD45" s="22">
        <f t="shared" si="482"/>
        <v>6</v>
      </c>
      <c r="DE45" s="22">
        <f t="shared" si="483"/>
        <v>0</v>
      </c>
      <c r="DF45" s="22"/>
      <c r="DG45" s="22">
        <f t="shared" si="484"/>
        <v>0</v>
      </c>
      <c r="DH45" s="22">
        <f t="shared" si="485"/>
        <v>0</v>
      </c>
      <c r="DI45" s="22">
        <v>1</v>
      </c>
      <c r="DJ45" s="22">
        <f t="shared" si="486"/>
        <v>1</v>
      </c>
      <c r="DK45" s="22">
        <f t="shared" si="487"/>
        <v>0</v>
      </c>
      <c r="DL45" s="22"/>
      <c r="DM45" s="22">
        <f t="shared" si="488"/>
        <v>0</v>
      </c>
      <c r="DN45" s="22">
        <f t="shared" si="489"/>
        <v>0</v>
      </c>
      <c r="DO45" s="22"/>
      <c r="DP45" s="22">
        <f t="shared" si="490"/>
        <v>0</v>
      </c>
      <c r="DQ45" s="22">
        <f t="shared" si="491"/>
        <v>0</v>
      </c>
      <c r="DR45" s="22"/>
      <c r="DS45" s="22">
        <f t="shared" si="492"/>
        <v>0</v>
      </c>
      <c r="DT45" s="22">
        <f t="shared" si="493"/>
        <v>0</v>
      </c>
      <c r="DU45" s="22"/>
      <c r="DV45" s="22">
        <f t="shared" si="494"/>
        <v>0</v>
      </c>
      <c r="DW45" s="22">
        <f t="shared" si="495"/>
        <v>0</v>
      </c>
      <c r="DX45" s="22"/>
      <c r="DY45" s="22">
        <f t="shared" si="496"/>
        <v>0</v>
      </c>
      <c r="DZ45" s="22">
        <f t="shared" si="497"/>
        <v>0</v>
      </c>
      <c r="EA45" s="22"/>
      <c r="EB45" s="22">
        <f t="shared" si="498"/>
        <v>0</v>
      </c>
      <c r="EC45" s="22">
        <f t="shared" si="499"/>
        <v>0</v>
      </c>
      <c r="ED45" s="22"/>
      <c r="EE45" s="22">
        <f t="shared" si="500"/>
        <v>0</v>
      </c>
      <c r="EF45" s="22">
        <f t="shared" si="501"/>
        <v>0</v>
      </c>
      <c r="EG45" s="22"/>
      <c r="EH45" s="22">
        <f t="shared" si="502"/>
        <v>0</v>
      </c>
      <c r="EI45" s="22">
        <f t="shared" si="503"/>
        <v>0</v>
      </c>
      <c r="EJ45" s="22"/>
      <c r="EK45" s="22">
        <f t="shared" si="504"/>
        <v>0</v>
      </c>
      <c r="EL45" s="22">
        <f t="shared" si="505"/>
        <v>0</v>
      </c>
      <c r="EM45" s="22"/>
      <c r="EN45" s="22">
        <f t="shared" si="506"/>
        <v>0</v>
      </c>
      <c r="EO45" s="22">
        <f t="shared" si="507"/>
        <v>0</v>
      </c>
    </row>
    <row r="46" spans="1:145">
      <c r="A46" s="15">
        <v>82</v>
      </c>
      <c r="B46" s="15" t="s">
        <v>457</v>
      </c>
      <c r="C46" s="16" t="s">
        <v>397</v>
      </c>
      <c r="D46" s="15" t="s">
        <v>458</v>
      </c>
      <c r="E46" s="15" t="s">
        <v>399</v>
      </c>
      <c r="F46" s="19">
        <f t="shared" si="369"/>
        <v>1</v>
      </c>
      <c r="G46" s="20"/>
      <c r="H46" s="21"/>
      <c r="I46" s="22">
        <f t="shared" si="416"/>
        <v>0</v>
      </c>
      <c r="J46" s="22">
        <f>$G46*H46</f>
        <v>0</v>
      </c>
      <c r="K46" s="22"/>
      <c r="L46" s="22">
        <f t="shared" si="418"/>
        <v>0</v>
      </c>
      <c r="M46" s="22">
        <f>$G46*K46</f>
        <v>0</v>
      </c>
      <c r="N46" s="22"/>
      <c r="O46" s="22">
        <f t="shared" si="420"/>
        <v>0</v>
      </c>
      <c r="P46" s="22">
        <f>$G46*N46</f>
        <v>0</v>
      </c>
      <c r="Q46" s="22"/>
      <c r="R46" s="22">
        <f t="shared" si="422"/>
        <v>0</v>
      </c>
      <c r="S46" s="22">
        <f>$G46*Q46</f>
        <v>0</v>
      </c>
      <c r="T46" s="22"/>
      <c r="U46" s="22">
        <f t="shared" si="424"/>
        <v>0</v>
      </c>
      <c r="V46" s="22">
        <f>$G46*T46</f>
        <v>0</v>
      </c>
      <c r="W46" s="22"/>
      <c r="X46" s="22">
        <f t="shared" si="426"/>
        <v>0</v>
      </c>
      <c r="Y46" s="22">
        <f>$G46*W46</f>
        <v>0</v>
      </c>
      <c r="Z46" s="22"/>
      <c r="AA46" s="22">
        <f t="shared" si="428"/>
        <v>0</v>
      </c>
      <c r="AB46" s="22">
        <f>$G46*Z46</f>
        <v>0</v>
      </c>
      <c r="AC46" s="22"/>
      <c r="AD46" s="22">
        <f t="shared" si="430"/>
        <v>0</v>
      </c>
      <c r="AE46" s="22">
        <f>$G46*AC46</f>
        <v>0</v>
      </c>
      <c r="AF46" s="22"/>
      <c r="AG46" s="22">
        <f t="shared" si="432"/>
        <v>0</v>
      </c>
      <c r="AH46" s="22">
        <f>$G46*AF46</f>
        <v>0</v>
      </c>
      <c r="AI46" s="22"/>
      <c r="AJ46" s="22">
        <f t="shared" si="434"/>
        <v>0</v>
      </c>
      <c r="AK46" s="22">
        <f>$G46*AI46</f>
        <v>0</v>
      </c>
      <c r="AL46" s="22"/>
      <c r="AM46" s="22">
        <f t="shared" si="436"/>
        <v>0</v>
      </c>
      <c r="AN46" s="22">
        <f>$G46*AL46</f>
        <v>0</v>
      </c>
      <c r="AO46" s="22"/>
      <c r="AP46" s="22">
        <f t="shared" si="438"/>
        <v>0</v>
      </c>
      <c r="AQ46" s="22">
        <f>$G46*AO46</f>
        <v>0</v>
      </c>
      <c r="AR46" s="22"/>
      <c r="AS46" s="22">
        <f t="shared" si="440"/>
        <v>0</v>
      </c>
      <c r="AT46" s="22">
        <f>$G46*AR46</f>
        <v>0</v>
      </c>
      <c r="AU46" s="22"/>
      <c r="AV46" s="22">
        <f t="shared" si="442"/>
        <v>0</v>
      </c>
      <c r="AW46" s="22">
        <f>$G46*AU46</f>
        <v>0</v>
      </c>
      <c r="AX46" s="22"/>
      <c r="AY46" s="22">
        <f t="shared" si="444"/>
        <v>0</v>
      </c>
      <c r="AZ46" s="22">
        <f>$G46*AX46</f>
        <v>0</v>
      </c>
      <c r="BA46" s="22"/>
      <c r="BB46" s="22">
        <f t="shared" si="446"/>
        <v>0</v>
      </c>
      <c r="BC46" s="22">
        <f>$G46*BA46</f>
        <v>0</v>
      </c>
      <c r="BD46" s="22"/>
      <c r="BE46" s="22">
        <f t="shared" si="448"/>
        <v>0</v>
      </c>
      <c r="BF46" s="22">
        <f>$G46*BD46</f>
        <v>0</v>
      </c>
      <c r="BG46" s="22"/>
      <c r="BH46" s="22">
        <f t="shared" si="450"/>
        <v>0</v>
      </c>
      <c r="BI46" s="22">
        <f>$G46*BG46</f>
        <v>0</v>
      </c>
      <c r="BJ46" s="22"/>
      <c r="BK46" s="22">
        <f t="shared" si="452"/>
        <v>0</v>
      </c>
      <c r="BL46" s="22">
        <f>$G46*BJ46</f>
        <v>0</v>
      </c>
      <c r="BM46" s="22"/>
      <c r="BN46" s="22">
        <f t="shared" si="454"/>
        <v>0</v>
      </c>
      <c r="BO46" s="22">
        <f>$G46*BM46</f>
        <v>0</v>
      </c>
      <c r="BP46" s="22">
        <v>1</v>
      </c>
      <c r="BQ46" s="22">
        <f t="shared" si="456"/>
        <v>1</v>
      </c>
      <c r="BR46" s="22">
        <f>$G46*BP46</f>
        <v>0</v>
      </c>
      <c r="BS46" s="22"/>
      <c r="BT46" s="22">
        <f t="shared" si="458"/>
        <v>0</v>
      </c>
      <c r="BU46" s="22">
        <f>$G46*BS46</f>
        <v>0</v>
      </c>
      <c r="BV46" s="22"/>
      <c r="BW46" s="22">
        <f t="shared" si="460"/>
        <v>0</v>
      </c>
      <c r="BX46" s="22">
        <f>$G46*BV46</f>
        <v>0</v>
      </c>
      <c r="BY46" s="22"/>
      <c r="BZ46" s="22">
        <f t="shared" si="462"/>
        <v>0</v>
      </c>
      <c r="CA46" s="22">
        <f>$G46*BY46</f>
        <v>0</v>
      </c>
      <c r="CB46" s="22"/>
      <c r="CC46" s="22">
        <f t="shared" si="464"/>
        <v>0</v>
      </c>
      <c r="CD46" s="22">
        <f>$G46*CB46</f>
        <v>0</v>
      </c>
      <c r="CE46" s="22"/>
      <c r="CF46" s="22">
        <f t="shared" si="466"/>
        <v>0</v>
      </c>
      <c r="CG46" s="22">
        <f>$G46*CE46</f>
        <v>0</v>
      </c>
      <c r="CH46" s="22"/>
      <c r="CI46" s="22">
        <f t="shared" si="468"/>
        <v>0</v>
      </c>
      <c r="CJ46" s="22">
        <f>$G46*CH46</f>
        <v>0</v>
      </c>
      <c r="CK46" s="22"/>
      <c r="CL46" s="22">
        <f t="shared" si="470"/>
        <v>0</v>
      </c>
      <c r="CM46" s="22">
        <f>$G46*CK46</f>
        <v>0</v>
      </c>
      <c r="CN46" s="22"/>
      <c r="CO46" s="22">
        <f t="shared" si="472"/>
        <v>0</v>
      </c>
      <c r="CP46" s="22">
        <f>$G46*CN46</f>
        <v>0</v>
      </c>
      <c r="CQ46" s="22"/>
      <c r="CR46" s="22">
        <f t="shared" si="474"/>
        <v>0</v>
      </c>
      <c r="CS46" s="22">
        <f>$G46*CQ46</f>
        <v>0</v>
      </c>
      <c r="CT46" s="22"/>
      <c r="CU46" s="22">
        <f t="shared" si="476"/>
        <v>0</v>
      </c>
      <c r="CV46" s="22">
        <f>$G46*CT46</f>
        <v>0</v>
      </c>
      <c r="CW46" s="22"/>
      <c r="CX46" s="22">
        <f t="shared" si="478"/>
        <v>0</v>
      </c>
      <c r="CY46" s="22">
        <f>$G46*CW46</f>
        <v>0</v>
      </c>
      <c r="CZ46" s="22"/>
      <c r="DA46" s="22">
        <f t="shared" si="480"/>
        <v>0</v>
      </c>
      <c r="DB46" s="22">
        <f>$G46*CZ46</f>
        <v>0</v>
      </c>
      <c r="DC46" s="22"/>
      <c r="DD46" s="22">
        <f t="shared" si="482"/>
        <v>0</v>
      </c>
      <c r="DE46" s="22">
        <f>$G46*DC46</f>
        <v>0</v>
      </c>
      <c r="DF46" s="22"/>
      <c r="DG46" s="22">
        <f t="shared" si="484"/>
        <v>0</v>
      </c>
      <c r="DH46" s="22">
        <f>$G46*DF46</f>
        <v>0</v>
      </c>
      <c r="DI46" s="22"/>
      <c r="DJ46" s="22">
        <f t="shared" si="486"/>
        <v>0</v>
      </c>
      <c r="DK46" s="22">
        <f>$G46*DI46</f>
        <v>0</v>
      </c>
      <c r="DL46" s="22"/>
      <c r="DM46" s="22">
        <f t="shared" si="488"/>
        <v>0</v>
      </c>
      <c r="DN46" s="22">
        <f>$G46*DL46</f>
        <v>0</v>
      </c>
      <c r="DO46" s="22"/>
      <c r="DP46" s="22">
        <f t="shared" si="490"/>
        <v>0</v>
      </c>
      <c r="DQ46" s="22">
        <f>$G46*DO46</f>
        <v>0</v>
      </c>
      <c r="DR46" s="22"/>
      <c r="DS46" s="22">
        <f t="shared" si="492"/>
        <v>0</v>
      </c>
      <c r="DT46" s="22">
        <f>$G46*DR46</f>
        <v>0</v>
      </c>
      <c r="DU46" s="22"/>
      <c r="DV46" s="22">
        <f t="shared" si="494"/>
        <v>0</v>
      </c>
      <c r="DW46" s="22">
        <f>$G46*DU46</f>
        <v>0</v>
      </c>
      <c r="DX46" s="22"/>
      <c r="DY46" s="22">
        <f t="shared" si="496"/>
        <v>0</v>
      </c>
      <c r="DZ46" s="22">
        <f>$G46*DX46</f>
        <v>0</v>
      </c>
      <c r="EA46" s="22"/>
      <c r="EB46" s="22">
        <f t="shared" si="498"/>
        <v>0</v>
      </c>
      <c r="EC46" s="22">
        <f>$G46*EA46</f>
        <v>0</v>
      </c>
      <c r="ED46" s="22"/>
      <c r="EE46" s="22">
        <f t="shared" si="500"/>
        <v>0</v>
      </c>
      <c r="EF46" s="22">
        <f>$G46*ED46</f>
        <v>0</v>
      </c>
      <c r="EG46" s="22"/>
      <c r="EH46" s="22">
        <f t="shared" si="502"/>
        <v>0</v>
      </c>
      <c r="EI46" s="22">
        <f>$G46*EG46</f>
        <v>0</v>
      </c>
      <c r="EJ46" s="22"/>
      <c r="EK46" s="22">
        <f t="shared" si="504"/>
        <v>0</v>
      </c>
      <c r="EL46" s="22">
        <f>$G46*EJ46</f>
        <v>0</v>
      </c>
      <c r="EM46" s="22"/>
      <c r="EN46" s="22">
        <f t="shared" si="506"/>
        <v>0</v>
      </c>
      <c r="EO46" s="22">
        <f>$G46*EM46</f>
        <v>0</v>
      </c>
    </row>
    <row r="47" spans="1:145">
      <c r="A47" s="15">
        <v>83</v>
      </c>
      <c r="B47" s="15" t="s">
        <v>471</v>
      </c>
      <c r="C47" s="16" t="s">
        <v>374</v>
      </c>
      <c r="D47" s="15" t="s">
        <v>472</v>
      </c>
      <c r="E47" s="15" t="s">
        <v>376</v>
      </c>
      <c r="F47" s="19">
        <f t="shared" si="369"/>
        <v>11</v>
      </c>
      <c r="G47" s="20"/>
      <c r="H47" s="21"/>
      <c r="I47" s="22">
        <f t="shared" si="416"/>
        <v>0</v>
      </c>
      <c r="J47" s="22">
        <f t="shared" ref="J47:J53" si="508">$G47*H47</f>
        <v>0</v>
      </c>
      <c r="K47" s="22"/>
      <c r="L47" s="22">
        <f t="shared" si="418"/>
        <v>0</v>
      </c>
      <c r="M47" s="22">
        <f t="shared" ref="M47:M53" si="509">$G47*K47</f>
        <v>0</v>
      </c>
      <c r="N47" s="22"/>
      <c r="O47" s="22">
        <f t="shared" si="420"/>
        <v>0</v>
      </c>
      <c r="P47" s="22">
        <f t="shared" ref="P47:P53" si="510">$G47*N47</f>
        <v>0</v>
      </c>
      <c r="Q47" s="22"/>
      <c r="R47" s="22">
        <f t="shared" si="422"/>
        <v>0</v>
      </c>
      <c r="S47" s="22">
        <f t="shared" ref="S47:S53" si="511">$G47*Q47</f>
        <v>0</v>
      </c>
      <c r="T47" s="22"/>
      <c r="U47" s="22">
        <f t="shared" si="424"/>
        <v>0</v>
      </c>
      <c r="V47" s="22">
        <f t="shared" ref="V47:V53" si="512">$G47*T47</f>
        <v>0</v>
      </c>
      <c r="W47" s="22"/>
      <c r="X47" s="22">
        <f t="shared" si="426"/>
        <v>0</v>
      </c>
      <c r="Y47" s="22">
        <f t="shared" ref="Y47:Y53" si="513">$G47*W47</f>
        <v>0</v>
      </c>
      <c r="Z47" s="22"/>
      <c r="AA47" s="22">
        <f t="shared" si="428"/>
        <v>0</v>
      </c>
      <c r="AB47" s="22">
        <f t="shared" ref="AB47:AB53" si="514">$G47*Z47</f>
        <v>0</v>
      </c>
      <c r="AC47" s="22"/>
      <c r="AD47" s="22">
        <f t="shared" si="430"/>
        <v>0</v>
      </c>
      <c r="AE47" s="22">
        <f t="shared" ref="AE47:AE53" si="515">$G47*AC47</f>
        <v>0</v>
      </c>
      <c r="AF47" s="22"/>
      <c r="AG47" s="22">
        <f t="shared" si="432"/>
        <v>0</v>
      </c>
      <c r="AH47" s="22">
        <f t="shared" ref="AH47:AH53" si="516">$G47*AF47</f>
        <v>0</v>
      </c>
      <c r="AI47" s="22"/>
      <c r="AJ47" s="22">
        <f t="shared" si="434"/>
        <v>0</v>
      </c>
      <c r="AK47" s="22">
        <f t="shared" ref="AK47:AK53" si="517">$G47*AI47</f>
        <v>0</v>
      </c>
      <c r="AL47" s="22"/>
      <c r="AM47" s="22">
        <f t="shared" si="436"/>
        <v>0</v>
      </c>
      <c r="AN47" s="22">
        <f t="shared" ref="AN47:AN53" si="518">$G47*AL47</f>
        <v>0</v>
      </c>
      <c r="AO47" s="22"/>
      <c r="AP47" s="22">
        <f t="shared" si="438"/>
        <v>0</v>
      </c>
      <c r="AQ47" s="22">
        <f t="shared" ref="AQ47:AQ53" si="519">$G47*AO47</f>
        <v>0</v>
      </c>
      <c r="AR47" s="22"/>
      <c r="AS47" s="22">
        <f t="shared" si="440"/>
        <v>0</v>
      </c>
      <c r="AT47" s="22">
        <f t="shared" ref="AT47:AT53" si="520">$G47*AR47</f>
        <v>0</v>
      </c>
      <c r="AU47" s="22"/>
      <c r="AV47" s="22">
        <f t="shared" si="442"/>
        <v>0</v>
      </c>
      <c r="AW47" s="22">
        <f t="shared" ref="AW47:AW53" si="521">$G47*AU47</f>
        <v>0</v>
      </c>
      <c r="AX47" s="22"/>
      <c r="AY47" s="22">
        <f t="shared" si="444"/>
        <v>0</v>
      </c>
      <c r="AZ47" s="22">
        <f t="shared" ref="AZ47:AZ53" si="522">$G47*AX47</f>
        <v>0</v>
      </c>
      <c r="BA47" s="22"/>
      <c r="BB47" s="22">
        <f t="shared" si="446"/>
        <v>0</v>
      </c>
      <c r="BC47" s="22">
        <f t="shared" ref="BC47:BC53" si="523">$G47*BA47</f>
        <v>0</v>
      </c>
      <c r="BD47" s="22"/>
      <c r="BE47" s="22">
        <f t="shared" si="448"/>
        <v>0</v>
      </c>
      <c r="BF47" s="22">
        <f t="shared" ref="BF47:BF53" si="524">$G47*BD47</f>
        <v>0</v>
      </c>
      <c r="BG47" s="22"/>
      <c r="BH47" s="22">
        <f t="shared" si="450"/>
        <v>0</v>
      </c>
      <c r="BI47" s="22">
        <f t="shared" ref="BI47:BI53" si="525">$G47*BG47</f>
        <v>0</v>
      </c>
      <c r="BJ47" s="22"/>
      <c r="BK47" s="22">
        <f t="shared" si="452"/>
        <v>0</v>
      </c>
      <c r="BL47" s="22">
        <f t="shared" ref="BL47:BL53" si="526">$G47*BJ47</f>
        <v>0</v>
      </c>
      <c r="BM47" s="22"/>
      <c r="BN47" s="22">
        <f t="shared" si="454"/>
        <v>0</v>
      </c>
      <c r="BO47" s="22">
        <f t="shared" ref="BO47:BO53" si="527">$G47*BM47</f>
        <v>0</v>
      </c>
      <c r="BP47" s="22">
        <v>1</v>
      </c>
      <c r="BQ47" s="22">
        <f t="shared" si="456"/>
        <v>1</v>
      </c>
      <c r="BR47" s="22">
        <f t="shared" ref="BR47:BR53" si="528">$G47*BP47</f>
        <v>0</v>
      </c>
      <c r="BS47" s="22"/>
      <c r="BT47" s="22">
        <f t="shared" si="458"/>
        <v>0</v>
      </c>
      <c r="BU47" s="22">
        <f t="shared" ref="BU47:BU53" si="529">$G47*BS47</f>
        <v>0</v>
      </c>
      <c r="BV47" s="22"/>
      <c r="BW47" s="22">
        <f t="shared" si="460"/>
        <v>0</v>
      </c>
      <c r="BX47" s="22">
        <f t="shared" ref="BX47:BX53" si="530">$G47*BV47</f>
        <v>0</v>
      </c>
      <c r="BY47" s="22"/>
      <c r="BZ47" s="22">
        <f t="shared" si="462"/>
        <v>0</v>
      </c>
      <c r="CA47" s="22">
        <f t="shared" ref="CA47:CA53" si="531">$G47*BY47</f>
        <v>0</v>
      </c>
      <c r="CB47" s="22"/>
      <c r="CC47" s="22">
        <f t="shared" si="464"/>
        <v>0</v>
      </c>
      <c r="CD47" s="22">
        <f t="shared" ref="CD47:CD53" si="532">$G47*CB47</f>
        <v>0</v>
      </c>
      <c r="CE47" s="22"/>
      <c r="CF47" s="22">
        <f t="shared" si="466"/>
        <v>0</v>
      </c>
      <c r="CG47" s="22">
        <f t="shared" ref="CG47:CG53" si="533">$G47*CE47</f>
        <v>0</v>
      </c>
      <c r="CH47" s="22">
        <v>1</v>
      </c>
      <c r="CI47" s="22">
        <f t="shared" si="468"/>
        <v>1</v>
      </c>
      <c r="CJ47" s="22">
        <f t="shared" ref="CJ47:CJ53" si="534">$G47*CH47</f>
        <v>0</v>
      </c>
      <c r="CK47" s="22"/>
      <c r="CL47" s="22">
        <f t="shared" si="470"/>
        <v>0</v>
      </c>
      <c r="CM47" s="22">
        <f t="shared" ref="CM47:CM53" si="535">$G47*CK47</f>
        <v>0</v>
      </c>
      <c r="CN47" s="22"/>
      <c r="CO47" s="22">
        <f t="shared" si="472"/>
        <v>0</v>
      </c>
      <c r="CP47" s="22">
        <f t="shared" ref="CP47:CP53" si="536">$G47*CN47</f>
        <v>0</v>
      </c>
      <c r="CQ47" s="22"/>
      <c r="CR47" s="22">
        <f t="shared" si="474"/>
        <v>0</v>
      </c>
      <c r="CS47" s="22">
        <f t="shared" ref="CS47:CS53" si="537">$G47*CQ47</f>
        <v>0</v>
      </c>
      <c r="CT47" s="22"/>
      <c r="CU47" s="22">
        <f t="shared" si="476"/>
        <v>0</v>
      </c>
      <c r="CV47" s="22">
        <f t="shared" ref="CV47:CV53" si="538">$G47*CT47</f>
        <v>0</v>
      </c>
      <c r="CW47" s="22"/>
      <c r="CX47" s="22">
        <f t="shared" si="478"/>
        <v>0</v>
      </c>
      <c r="CY47" s="22">
        <f t="shared" ref="CY47:CY53" si="539">$G47*CW47</f>
        <v>0</v>
      </c>
      <c r="CZ47" s="22">
        <v>1</v>
      </c>
      <c r="DA47" s="22">
        <f t="shared" si="480"/>
        <v>6</v>
      </c>
      <c r="DB47" s="22">
        <f t="shared" ref="DB47:DB53" si="540">$G47*CZ47</f>
        <v>0</v>
      </c>
      <c r="DC47" s="22"/>
      <c r="DD47" s="22">
        <f t="shared" si="482"/>
        <v>0</v>
      </c>
      <c r="DE47" s="22">
        <f t="shared" ref="DE47:DE53" si="541">$G47*DC47</f>
        <v>0</v>
      </c>
      <c r="DF47" s="22"/>
      <c r="DG47" s="22">
        <f t="shared" si="484"/>
        <v>0</v>
      </c>
      <c r="DH47" s="22">
        <f t="shared" ref="DH47:DH53" si="542">$G47*DF47</f>
        <v>0</v>
      </c>
      <c r="DI47" s="22"/>
      <c r="DJ47" s="22">
        <f t="shared" si="486"/>
        <v>0</v>
      </c>
      <c r="DK47" s="22">
        <f t="shared" ref="DK47:DK53" si="543">$G47*DI47</f>
        <v>0</v>
      </c>
      <c r="DL47" s="22"/>
      <c r="DM47" s="22">
        <f t="shared" si="488"/>
        <v>0</v>
      </c>
      <c r="DN47" s="22">
        <f t="shared" ref="DN47:DN53" si="544">$G47*DL47</f>
        <v>0</v>
      </c>
      <c r="DO47" s="22">
        <v>1</v>
      </c>
      <c r="DP47" s="22">
        <f t="shared" si="490"/>
        <v>3</v>
      </c>
      <c r="DQ47" s="22">
        <f t="shared" ref="DQ47:DQ53" si="545">$G47*DO47</f>
        <v>0</v>
      </c>
      <c r="DR47" s="22"/>
      <c r="DS47" s="22">
        <f t="shared" si="492"/>
        <v>0</v>
      </c>
      <c r="DT47" s="22">
        <f t="shared" ref="DT47:DT53" si="546">$G47*DR47</f>
        <v>0</v>
      </c>
      <c r="DU47" s="22"/>
      <c r="DV47" s="22">
        <f t="shared" si="494"/>
        <v>0</v>
      </c>
      <c r="DW47" s="22">
        <f t="shared" ref="DW47:DW53" si="547">$G47*DU47</f>
        <v>0</v>
      </c>
      <c r="DX47" s="22"/>
      <c r="DY47" s="22">
        <f t="shared" si="496"/>
        <v>0</v>
      </c>
      <c r="DZ47" s="22">
        <f t="shared" ref="DZ47:DZ53" si="548">$G47*DX47</f>
        <v>0</v>
      </c>
      <c r="EA47" s="22"/>
      <c r="EB47" s="22">
        <f t="shared" si="498"/>
        <v>0</v>
      </c>
      <c r="EC47" s="22">
        <f t="shared" ref="EC47:EC53" si="549">$G47*EA47</f>
        <v>0</v>
      </c>
      <c r="ED47" s="22"/>
      <c r="EE47" s="22">
        <f t="shared" si="500"/>
        <v>0</v>
      </c>
      <c r="EF47" s="22">
        <f t="shared" ref="EF47:EF53" si="550">$G47*ED47</f>
        <v>0</v>
      </c>
      <c r="EG47" s="22"/>
      <c r="EH47" s="22">
        <f t="shared" si="502"/>
        <v>0</v>
      </c>
      <c r="EI47" s="22">
        <f t="shared" ref="EI47:EI53" si="551">$G47*EG47</f>
        <v>0</v>
      </c>
      <c r="EJ47" s="22"/>
      <c r="EK47" s="22">
        <f t="shared" si="504"/>
        <v>0</v>
      </c>
      <c r="EL47" s="22">
        <f t="shared" ref="EL47:EL53" si="552">$G47*EJ47</f>
        <v>0</v>
      </c>
      <c r="EM47" s="22"/>
      <c r="EN47" s="22">
        <f t="shared" si="506"/>
        <v>0</v>
      </c>
      <c r="EO47" s="22">
        <f t="shared" ref="EO47:EO53" si="553">$G47*EM47</f>
        <v>0</v>
      </c>
    </row>
    <row r="48" spans="1:145">
      <c r="A48" s="15">
        <v>84</v>
      </c>
      <c r="B48" s="15" t="s">
        <v>473</v>
      </c>
      <c r="C48" s="16" t="s">
        <v>374</v>
      </c>
      <c r="D48" s="15" t="s">
        <v>474</v>
      </c>
      <c r="E48" s="15" t="s">
        <v>376</v>
      </c>
      <c r="F48" s="19">
        <f t="shared" si="369"/>
        <v>1</v>
      </c>
      <c r="G48" s="20"/>
      <c r="H48" s="21"/>
      <c r="I48" s="22">
        <f t="shared" si="416"/>
        <v>0</v>
      </c>
      <c r="J48" s="22">
        <f t="shared" si="508"/>
        <v>0</v>
      </c>
      <c r="K48" s="22"/>
      <c r="L48" s="22">
        <f t="shared" si="418"/>
        <v>0</v>
      </c>
      <c r="M48" s="22">
        <f t="shared" si="509"/>
        <v>0</v>
      </c>
      <c r="N48" s="22"/>
      <c r="O48" s="22">
        <f t="shared" si="420"/>
        <v>0</v>
      </c>
      <c r="P48" s="22">
        <f t="shared" si="510"/>
        <v>0</v>
      </c>
      <c r="Q48" s="22"/>
      <c r="R48" s="22">
        <f t="shared" si="422"/>
        <v>0</v>
      </c>
      <c r="S48" s="22">
        <f t="shared" si="511"/>
        <v>0</v>
      </c>
      <c r="T48" s="22"/>
      <c r="U48" s="22">
        <f t="shared" si="424"/>
        <v>0</v>
      </c>
      <c r="V48" s="22">
        <f t="shared" si="512"/>
        <v>0</v>
      </c>
      <c r="W48" s="22"/>
      <c r="X48" s="22">
        <f t="shared" si="426"/>
        <v>0</v>
      </c>
      <c r="Y48" s="22">
        <f t="shared" si="513"/>
        <v>0</v>
      </c>
      <c r="Z48" s="22"/>
      <c r="AA48" s="22">
        <f t="shared" si="428"/>
        <v>0</v>
      </c>
      <c r="AB48" s="22">
        <f t="shared" si="514"/>
        <v>0</v>
      </c>
      <c r="AC48" s="22"/>
      <c r="AD48" s="22">
        <f t="shared" si="430"/>
        <v>0</v>
      </c>
      <c r="AE48" s="22">
        <f t="shared" si="515"/>
        <v>0</v>
      </c>
      <c r="AF48" s="22"/>
      <c r="AG48" s="22">
        <f t="shared" si="432"/>
        <v>0</v>
      </c>
      <c r="AH48" s="22">
        <f t="shared" si="516"/>
        <v>0</v>
      </c>
      <c r="AI48" s="22"/>
      <c r="AJ48" s="22">
        <f t="shared" si="434"/>
        <v>0</v>
      </c>
      <c r="AK48" s="22">
        <f t="shared" si="517"/>
        <v>0</v>
      </c>
      <c r="AL48" s="22"/>
      <c r="AM48" s="22">
        <f t="shared" si="436"/>
        <v>0</v>
      </c>
      <c r="AN48" s="22">
        <f t="shared" si="518"/>
        <v>0</v>
      </c>
      <c r="AO48" s="22"/>
      <c r="AP48" s="22">
        <f t="shared" si="438"/>
        <v>0</v>
      </c>
      <c r="AQ48" s="22">
        <f t="shared" si="519"/>
        <v>0</v>
      </c>
      <c r="AR48" s="22"/>
      <c r="AS48" s="22">
        <f t="shared" si="440"/>
        <v>0</v>
      </c>
      <c r="AT48" s="22">
        <f t="shared" si="520"/>
        <v>0</v>
      </c>
      <c r="AU48" s="22"/>
      <c r="AV48" s="22">
        <f t="shared" si="442"/>
        <v>0</v>
      </c>
      <c r="AW48" s="22">
        <f t="shared" si="521"/>
        <v>0</v>
      </c>
      <c r="AX48" s="22"/>
      <c r="AY48" s="22">
        <f t="shared" si="444"/>
        <v>0</v>
      </c>
      <c r="AZ48" s="22">
        <f t="shared" si="522"/>
        <v>0</v>
      </c>
      <c r="BA48" s="22"/>
      <c r="BB48" s="22">
        <f t="shared" si="446"/>
        <v>0</v>
      </c>
      <c r="BC48" s="22">
        <f t="shared" si="523"/>
        <v>0</v>
      </c>
      <c r="BD48" s="22"/>
      <c r="BE48" s="22">
        <f t="shared" si="448"/>
        <v>0</v>
      </c>
      <c r="BF48" s="22">
        <f t="shared" si="524"/>
        <v>0</v>
      </c>
      <c r="BG48" s="22"/>
      <c r="BH48" s="22">
        <f t="shared" si="450"/>
        <v>0</v>
      </c>
      <c r="BI48" s="22">
        <f t="shared" si="525"/>
        <v>0</v>
      </c>
      <c r="BJ48" s="22"/>
      <c r="BK48" s="22">
        <f t="shared" si="452"/>
        <v>0</v>
      </c>
      <c r="BL48" s="22">
        <f t="shared" si="526"/>
        <v>0</v>
      </c>
      <c r="BM48" s="22"/>
      <c r="BN48" s="22">
        <f t="shared" si="454"/>
        <v>0</v>
      </c>
      <c r="BO48" s="22">
        <f t="shared" si="527"/>
        <v>0</v>
      </c>
      <c r="BP48" s="22"/>
      <c r="BQ48" s="22">
        <f t="shared" si="456"/>
        <v>0</v>
      </c>
      <c r="BR48" s="22">
        <f t="shared" si="528"/>
        <v>0</v>
      </c>
      <c r="BS48" s="22"/>
      <c r="BT48" s="22">
        <f t="shared" si="458"/>
        <v>0</v>
      </c>
      <c r="BU48" s="22">
        <f t="shared" si="529"/>
        <v>0</v>
      </c>
      <c r="BV48" s="22"/>
      <c r="BW48" s="22">
        <f t="shared" si="460"/>
        <v>0</v>
      </c>
      <c r="BX48" s="22">
        <f t="shared" si="530"/>
        <v>0</v>
      </c>
      <c r="BY48" s="22"/>
      <c r="BZ48" s="22">
        <f t="shared" si="462"/>
        <v>0</v>
      </c>
      <c r="CA48" s="22">
        <f t="shared" si="531"/>
        <v>0</v>
      </c>
      <c r="CB48" s="22"/>
      <c r="CC48" s="22">
        <f t="shared" si="464"/>
        <v>0</v>
      </c>
      <c r="CD48" s="22">
        <f t="shared" si="532"/>
        <v>0</v>
      </c>
      <c r="CE48" s="22">
        <v>1</v>
      </c>
      <c r="CF48" s="22">
        <f t="shared" si="466"/>
        <v>1</v>
      </c>
      <c r="CG48" s="22">
        <f t="shared" si="533"/>
        <v>0</v>
      </c>
      <c r="CH48" s="22"/>
      <c r="CI48" s="22">
        <f t="shared" si="468"/>
        <v>0</v>
      </c>
      <c r="CJ48" s="22">
        <f t="shared" si="534"/>
        <v>0</v>
      </c>
      <c r="CK48" s="22"/>
      <c r="CL48" s="22">
        <f t="shared" si="470"/>
        <v>0</v>
      </c>
      <c r="CM48" s="22">
        <f t="shared" si="535"/>
        <v>0</v>
      </c>
      <c r="CN48" s="22"/>
      <c r="CO48" s="22">
        <f t="shared" si="472"/>
        <v>0</v>
      </c>
      <c r="CP48" s="22">
        <f t="shared" si="536"/>
        <v>0</v>
      </c>
      <c r="CQ48" s="22"/>
      <c r="CR48" s="22">
        <f t="shared" si="474"/>
        <v>0</v>
      </c>
      <c r="CS48" s="22">
        <f t="shared" si="537"/>
        <v>0</v>
      </c>
      <c r="CT48" s="22"/>
      <c r="CU48" s="22">
        <f t="shared" si="476"/>
        <v>0</v>
      </c>
      <c r="CV48" s="22">
        <f t="shared" si="538"/>
        <v>0</v>
      </c>
      <c r="CW48" s="22"/>
      <c r="CX48" s="22">
        <f t="shared" si="478"/>
        <v>0</v>
      </c>
      <c r="CY48" s="22">
        <f t="shared" si="539"/>
        <v>0</v>
      </c>
      <c r="CZ48" s="22"/>
      <c r="DA48" s="22">
        <f t="shared" si="480"/>
        <v>0</v>
      </c>
      <c r="DB48" s="22">
        <f t="shared" si="540"/>
        <v>0</v>
      </c>
      <c r="DC48" s="22"/>
      <c r="DD48" s="22">
        <f t="shared" si="482"/>
        <v>0</v>
      </c>
      <c r="DE48" s="22">
        <f t="shared" si="541"/>
        <v>0</v>
      </c>
      <c r="DF48" s="22"/>
      <c r="DG48" s="22">
        <f t="shared" si="484"/>
        <v>0</v>
      </c>
      <c r="DH48" s="22">
        <f t="shared" si="542"/>
        <v>0</v>
      </c>
      <c r="DI48" s="22"/>
      <c r="DJ48" s="22">
        <f t="shared" si="486"/>
        <v>0</v>
      </c>
      <c r="DK48" s="22">
        <f t="shared" si="543"/>
        <v>0</v>
      </c>
      <c r="DL48" s="22"/>
      <c r="DM48" s="22">
        <f t="shared" si="488"/>
        <v>0</v>
      </c>
      <c r="DN48" s="22">
        <f t="shared" si="544"/>
        <v>0</v>
      </c>
      <c r="DO48" s="22"/>
      <c r="DP48" s="22">
        <f t="shared" si="490"/>
        <v>0</v>
      </c>
      <c r="DQ48" s="22">
        <f t="shared" si="545"/>
        <v>0</v>
      </c>
      <c r="DR48" s="22"/>
      <c r="DS48" s="22">
        <f t="shared" si="492"/>
        <v>0</v>
      </c>
      <c r="DT48" s="22">
        <f t="shared" si="546"/>
        <v>0</v>
      </c>
      <c r="DU48" s="22"/>
      <c r="DV48" s="22">
        <f t="shared" si="494"/>
        <v>0</v>
      </c>
      <c r="DW48" s="22">
        <f t="shared" si="547"/>
        <v>0</v>
      </c>
      <c r="DX48" s="22"/>
      <c r="DY48" s="22">
        <f t="shared" si="496"/>
        <v>0</v>
      </c>
      <c r="DZ48" s="22">
        <f t="shared" si="548"/>
        <v>0</v>
      </c>
      <c r="EA48" s="22"/>
      <c r="EB48" s="22">
        <f t="shared" si="498"/>
        <v>0</v>
      </c>
      <c r="EC48" s="22">
        <f t="shared" si="549"/>
        <v>0</v>
      </c>
      <c r="ED48" s="22"/>
      <c r="EE48" s="22">
        <f t="shared" si="500"/>
        <v>0</v>
      </c>
      <c r="EF48" s="22">
        <f t="shared" si="550"/>
        <v>0</v>
      </c>
      <c r="EG48" s="22"/>
      <c r="EH48" s="22">
        <f t="shared" si="502"/>
        <v>0</v>
      </c>
      <c r="EI48" s="22">
        <f t="shared" si="551"/>
        <v>0</v>
      </c>
      <c r="EJ48" s="22"/>
      <c r="EK48" s="22">
        <f t="shared" si="504"/>
        <v>0</v>
      </c>
      <c r="EL48" s="22">
        <f t="shared" si="552"/>
        <v>0</v>
      </c>
      <c r="EM48" s="22"/>
      <c r="EN48" s="22">
        <f t="shared" si="506"/>
        <v>0</v>
      </c>
      <c r="EO48" s="22">
        <f t="shared" si="553"/>
        <v>0</v>
      </c>
    </row>
    <row r="49" spans="1:145">
      <c r="A49" s="15">
        <v>85</v>
      </c>
      <c r="B49" s="15" t="s">
        <v>475</v>
      </c>
      <c r="C49" s="16" t="s">
        <v>469</v>
      </c>
      <c r="D49" s="15" t="s">
        <v>476</v>
      </c>
      <c r="E49" s="15" t="s">
        <v>380</v>
      </c>
      <c r="F49" s="19">
        <f t="shared" si="369"/>
        <v>1</v>
      </c>
      <c r="G49" s="20"/>
      <c r="H49" s="21"/>
      <c r="I49" s="22">
        <f t="shared" si="416"/>
        <v>0</v>
      </c>
      <c r="J49" s="22">
        <f t="shared" si="508"/>
        <v>0</v>
      </c>
      <c r="K49" s="22"/>
      <c r="L49" s="22">
        <f t="shared" si="418"/>
        <v>0</v>
      </c>
      <c r="M49" s="22">
        <f t="shared" si="509"/>
        <v>0</v>
      </c>
      <c r="N49" s="22"/>
      <c r="O49" s="22">
        <f t="shared" si="420"/>
        <v>0</v>
      </c>
      <c r="P49" s="22">
        <f t="shared" si="510"/>
        <v>0</v>
      </c>
      <c r="Q49" s="22"/>
      <c r="R49" s="22">
        <f t="shared" si="422"/>
        <v>0</v>
      </c>
      <c r="S49" s="22">
        <f t="shared" si="511"/>
        <v>0</v>
      </c>
      <c r="T49" s="22"/>
      <c r="U49" s="22">
        <f t="shared" si="424"/>
        <v>0</v>
      </c>
      <c r="V49" s="22">
        <f t="shared" si="512"/>
        <v>0</v>
      </c>
      <c r="W49" s="22"/>
      <c r="X49" s="22">
        <f t="shared" si="426"/>
        <v>0</v>
      </c>
      <c r="Y49" s="22">
        <f t="shared" si="513"/>
        <v>0</v>
      </c>
      <c r="Z49" s="22"/>
      <c r="AA49" s="22">
        <f t="shared" si="428"/>
        <v>0</v>
      </c>
      <c r="AB49" s="22">
        <f t="shared" si="514"/>
        <v>0</v>
      </c>
      <c r="AC49" s="22"/>
      <c r="AD49" s="22">
        <f t="shared" si="430"/>
        <v>0</v>
      </c>
      <c r="AE49" s="22">
        <f t="shared" si="515"/>
        <v>0</v>
      </c>
      <c r="AF49" s="22"/>
      <c r="AG49" s="22">
        <f t="shared" si="432"/>
        <v>0</v>
      </c>
      <c r="AH49" s="22">
        <f t="shared" si="516"/>
        <v>0</v>
      </c>
      <c r="AI49" s="22"/>
      <c r="AJ49" s="22">
        <f t="shared" si="434"/>
        <v>0</v>
      </c>
      <c r="AK49" s="22">
        <f t="shared" si="517"/>
        <v>0</v>
      </c>
      <c r="AL49" s="22"/>
      <c r="AM49" s="22">
        <f t="shared" si="436"/>
        <v>0</v>
      </c>
      <c r="AN49" s="22">
        <f t="shared" si="518"/>
        <v>0</v>
      </c>
      <c r="AO49" s="22"/>
      <c r="AP49" s="22">
        <f t="shared" si="438"/>
        <v>0</v>
      </c>
      <c r="AQ49" s="22">
        <f t="shared" si="519"/>
        <v>0</v>
      </c>
      <c r="AR49" s="22"/>
      <c r="AS49" s="22">
        <f t="shared" si="440"/>
        <v>0</v>
      </c>
      <c r="AT49" s="22">
        <f t="shared" si="520"/>
        <v>0</v>
      </c>
      <c r="AU49" s="22"/>
      <c r="AV49" s="22">
        <f t="shared" si="442"/>
        <v>0</v>
      </c>
      <c r="AW49" s="22">
        <f t="shared" si="521"/>
        <v>0</v>
      </c>
      <c r="AX49" s="22"/>
      <c r="AY49" s="22">
        <f t="shared" si="444"/>
        <v>0</v>
      </c>
      <c r="AZ49" s="22">
        <f t="shared" si="522"/>
        <v>0</v>
      </c>
      <c r="BA49" s="22"/>
      <c r="BB49" s="22">
        <f t="shared" si="446"/>
        <v>0</v>
      </c>
      <c r="BC49" s="22">
        <f t="shared" si="523"/>
        <v>0</v>
      </c>
      <c r="BD49" s="22"/>
      <c r="BE49" s="22">
        <f t="shared" si="448"/>
        <v>0</v>
      </c>
      <c r="BF49" s="22">
        <f t="shared" si="524"/>
        <v>0</v>
      </c>
      <c r="BG49" s="22"/>
      <c r="BH49" s="22">
        <f t="shared" si="450"/>
        <v>0</v>
      </c>
      <c r="BI49" s="22">
        <f t="shared" si="525"/>
        <v>0</v>
      </c>
      <c r="BJ49" s="22"/>
      <c r="BK49" s="22">
        <f t="shared" si="452"/>
        <v>0</v>
      </c>
      <c r="BL49" s="22">
        <f t="shared" si="526"/>
        <v>0</v>
      </c>
      <c r="BM49" s="22"/>
      <c r="BN49" s="22">
        <f t="shared" si="454"/>
        <v>0</v>
      </c>
      <c r="BO49" s="22">
        <f t="shared" si="527"/>
        <v>0</v>
      </c>
      <c r="BP49" s="22"/>
      <c r="BQ49" s="22">
        <f t="shared" si="456"/>
        <v>0</v>
      </c>
      <c r="BR49" s="22">
        <f t="shared" si="528"/>
        <v>0</v>
      </c>
      <c r="BS49" s="22"/>
      <c r="BT49" s="22">
        <f t="shared" si="458"/>
        <v>0</v>
      </c>
      <c r="BU49" s="22">
        <f t="shared" si="529"/>
        <v>0</v>
      </c>
      <c r="BV49" s="22"/>
      <c r="BW49" s="22">
        <f t="shared" si="460"/>
        <v>0</v>
      </c>
      <c r="BX49" s="22">
        <f t="shared" si="530"/>
        <v>0</v>
      </c>
      <c r="BY49" s="22"/>
      <c r="BZ49" s="22">
        <f t="shared" si="462"/>
        <v>0</v>
      </c>
      <c r="CA49" s="22">
        <f t="shared" si="531"/>
        <v>0</v>
      </c>
      <c r="CB49" s="22"/>
      <c r="CC49" s="22">
        <f t="shared" si="464"/>
        <v>0</v>
      </c>
      <c r="CD49" s="22">
        <f t="shared" si="532"/>
        <v>0</v>
      </c>
      <c r="CE49" s="22">
        <v>1</v>
      </c>
      <c r="CF49" s="22">
        <f t="shared" si="466"/>
        <v>1</v>
      </c>
      <c r="CG49" s="22">
        <f t="shared" si="533"/>
        <v>0</v>
      </c>
      <c r="CH49" s="22"/>
      <c r="CI49" s="22">
        <f t="shared" si="468"/>
        <v>0</v>
      </c>
      <c r="CJ49" s="22">
        <f t="shared" si="534"/>
        <v>0</v>
      </c>
      <c r="CK49" s="22"/>
      <c r="CL49" s="22">
        <f t="shared" si="470"/>
        <v>0</v>
      </c>
      <c r="CM49" s="22">
        <f t="shared" si="535"/>
        <v>0</v>
      </c>
      <c r="CN49" s="22"/>
      <c r="CO49" s="22">
        <f t="shared" si="472"/>
        <v>0</v>
      </c>
      <c r="CP49" s="22">
        <f t="shared" si="536"/>
        <v>0</v>
      </c>
      <c r="CQ49" s="22"/>
      <c r="CR49" s="22">
        <f t="shared" si="474"/>
        <v>0</v>
      </c>
      <c r="CS49" s="22">
        <f t="shared" si="537"/>
        <v>0</v>
      </c>
      <c r="CT49" s="22"/>
      <c r="CU49" s="22">
        <f t="shared" si="476"/>
        <v>0</v>
      </c>
      <c r="CV49" s="22">
        <f t="shared" si="538"/>
        <v>0</v>
      </c>
      <c r="CW49" s="22"/>
      <c r="CX49" s="22">
        <f t="shared" si="478"/>
        <v>0</v>
      </c>
      <c r="CY49" s="22">
        <f t="shared" si="539"/>
        <v>0</v>
      </c>
      <c r="CZ49" s="22"/>
      <c r="DA49" s="22">
        <f t="shared" si="480"/>
        <v>0</v>
      </c>
      <c r="DB49" s="22">
        <f t="shared" si="540"/>
        <v>0</v>
      </c>
      <c r="DC49" s="22"/>
      <c r="DD49" s="22">
        <f t="shared" si="482"/>
        <v>0</v>
      </c>
      <c r="DE49" s="22">
        <f t="shared" si="541"/>
        <v>0</v>
      </c>
      <c r="DF49" s="22"/>
      <c r="DG49" s="22">
        <f t="shared" si="484"/>
        <v>0</v>
      </c>
      <c r="DH49" s="22">
        <f t="shared" si="542"/>
        <v>0</v>
      </c>
      <c r="DI49" s="22"/>
      <c r="DJ49" s="22">
        <f t="shared" si="486"/>
        <v>0</v>
      </c>
      <c r="DK49" s="22">
        <f t="shared" si="543"/>
        <v>0</v>
      </c>
      <c r="DL49" s="22"/>
      <c r="DM49" s="22">
        <f t="shared" si="488"/>
        <v>0</v>
      </c>
      <c r="DN49" s="22">
        <f t="shared" si="544"/>
        <v>0</v>
      </c>
      <c r="DO49" s="22"/>
      <c r="DP49" s="22">
        <f t="shared" si="490"/>
        <v>0</v>
      </c>
      <c r="DQ49" s="22">
        <f t="shared" si="545"/>
        <v>0</v>
      </c>
      <c r="DR49" s="22"/>
      <c r="DS49" s="22">
        <f t="shared" si="492"/>
        <v>0</v>
      </c>
      <c r="DT49" s="22">
        <f t="shared" si="546"/>
        <v>0</v>
      </c>
      <c r="DU49" s="22"/>
      <c r="DV49" s="22">
        <f t="shared" si="494"/>
        <v>0</v>
      </c>
      <c r="DW49" s="22">
        <f t="shared" si="547"/>
        <v>0</v>
      </c>
      <c r="DX49" s="22"/>
      <c r="DY49" s="22">
        <f t="shared" si="496"/>
        <v>0</v>
      </c>
      <c r="DZ49" s="22">
        <f t="shared" si="548"/>
        <v>0</v>
      </c>
      <c r="EA49" s="22"/>
      <c r="EB49" s="22">
        <f t="shared" si="498"/>
        <v>0</v>
      </c>
      <c r="EC49" s="22">
        <f t="shared" si="549"/>
        <v>0</v>
      </c>
      <c r="ED49" s="22"/>
      <c r="EE49" s="22">
        <f t="shared" si="500"/>
        <v>0</v>
      </c>
      <c r="EF49" s="22">
        <f t="shared" si="550"/>
        <v>0</v>
      </c>
      <c r="EG49" s="22"/>
      <c r="EH49" s="22">
        <f t="shared" si="502"/>
        <v>0</v>
      </c>
      <c r="EI49" s="22">
        <f t="shared" si="551"/>
        <v>0</v>
      </c>
      <c r="EJ49" s="22"/>
      <c r="EK49" s="22">
        <f t="shared" si="504"/>
        <v>0</v>
      </c>
      <c r="EL49" s="22">
        <f t="shared" si="552"/>
        <v>0</v>
      </c>
      <c r="EM49" s="22"/>
      <c r="EN49" s="22">
        <f t="shared" si="506"/>
        <v>0</v>
      </c>
      <c r="EO49" s="22">
        <f t="shared" si="553"/>
        <v>0</v>
      </c>
    </row>
    <row r="50" spans="1:145">
      <c r="A50" s="15">
        <v>86</v>
      </c>
      <c r="B50" s="15" t="s">
        <v>477</v>
      </c>
      <c r="C50" s="16" t="s">
        <v>397</v>
      </c>
      <c r="D50" s="15" t="s">
        <v>478</v>
      </c>
      <c r="E50" s="15" t="s">
        <v>399</v>
      </c>
      <c r="F50" s="19">
        <f t="shared" si="369"/>
        <v>3</v>
      </c>
      <c r="G50" s="20"/>
      <c r="H50" s="21"/>
      <c r="I50" s="22">
        <f t="shared" si="416"/>
        <v>0</v>
      </c>
      <c r="J50" s="22">
        <f t="shared" si="508"/>
        <v>0</v>
      </c>
      <c r="K50" s="22"/>
      <c r="L50" s="22">
        <f t="shared" si="418"/>
        <v>0</v>
      </c>
      <c r="M50" s="22">
        <f t="shared" si="509"/>
        <v>0</v>
      </c>
      <c r="N50" s="22"/>
      <c r="O50" s="22">
        <f t="shared" si="420"/>
        <v>0</v>
      </c>
      <c r="P50" s="22">
        <f t="shared" si="510"/>
        <v>0</v>
      </c>
      <c r="Q50" s="22"/>
      <c r="R50" s="22">
        <f t="shared" si="422"/>
        <v>0</v>
      </c>
      <c r="S50" s="22">
        <f t="shared" si="511"/>
        <v>0</v>
      </c>
      <c r="T50" s="22"/>
      <c r="U50" s="22">
        <f t="shared" si="424"/>
        <v>0</v>
      </c>
      <c r="V50" s="22">
        <f t="shared" si="512"/>
        <v>0</v>
      </c>
      <c r="W50" s="22"/>
      <c r="X50" s="22">
        <f t="shared" si="426"/>
        <v>0</v>
      </c>
      <c r="Y50" s="22">
        <f t="shared" si="513"/>
        <v>0</v>
      </c>
      <c r="Z50" s="22"/>
      <c r="AA50" s="22">
        <f t="shared" si="428"/>
        <v>0</v>
      </c>
      <c r="AB50" s="22">
        <f t="shared" si="514"/>
        <v>0</v>
      </c>
      <c r="AC50" s="22"/>
      <c r="AD50" s="22">
        <f t="shared" si="430"/>
        <v>0</v>
      </c>
      <c r="AE50" s="22">
        <f t="shared" si="515"/>
        <v>0</v>
      </c>
      <c r="AF50" s="22"/>
      <c r="AG50" s="22">
        <f t="shared" si="432"/>
        <v>0</v>
      </c>
      <c r="AH50" s="22">
        <f t="shared" si="516"/>
        <v>0</v>
      </c>
      <c r="AI50" s="22"/>
      <c r="AJ50" s="22">
        <f t="shared" si="434"/>
        <v>0</v>
      </c>
      <c r="AK50" s="22">
        <f t="shared" si="517"/>
        <v>0</v>
      </c>
      <c r="AL50" s="22"/>
      <c r="AM50" s="22">
        <f t="shared" si="436"/>
        <v>0</v>
      </c>
      <c r="AN50" s="22">
        <f t="shared" si="518"/>
        <v>0</v>
      </c>
      <c r="AO50" s="22"/>
      <c r="AP50" s="22">
        <f t="shared" si="438"/>
        <v>0</v>
      </c>
      <c r="AQ50" s="22">
        <f t="shared" si="519"/>
        <v>0</v>
      </c>
      <c r="AR50" s="22"/>
      <c r="AS50" s="22">
        <f t="shared" si="440"/>
        <v>0</v>
      </c>
      <c r="AT50" s="22">
        <f t="shared" si="520"/>
        <v>0</v>
      </c>
      <c r="AU50" s="22"/>
      <c r="AV50" s="22">
        <f t="shared" si="442"/>
        <v>0</v>
      </c>
      <c r="AW50" s="22">
        <f t="shared" si="521"/>
        <v>0</v>
      </c>
      <c r="AX50" s="22"/>
      <c r="AY50" s="22">
        <f t="shared" si="444"/>
        <v>0</v>
      </c>
      <c r="AZ50" s="22">
        <f t="shared" si="522"/>
        <v>0</v>
      </c>
      <c r="BA50" s="22"/>
      <c r="BB50" s="22">
        <f t="shared" si="446"/>
        <v>0</v>
      </c>
      <c r="BC50" s="22">
        <f t="shared" si="523"/>
        <v>0</v>
      </c>
      <c r="BD50" s="22"/>
      <c r="BE50" s="22">
        <f t="shared" si="448"/>
        <v>0</v>
      </c>
      <c r="BF50" s="22">
        <f t="shared" si="524"/>
        <v>0</v>
      </c>
      <c r="BG50" s="22"/>
      <c r="BH50" s="22">
        <f t="shared" si="450"/>
        <v>0</v>
      </c>
      <c r="BI50" s="22">
        <f t="shared" si="525"/>
        <v>0</v>
      </c>
      <c r="BJ50" s="22"/>
      <c r="BK50" s="22">
        <f t="shared" si="452"/>
        <v>0</v>
      </c>
      <c r="BL50" s="22">
        <f t="shared" si="526"/>
        <v>0</v>
      </c>
      <c r="BM50" s="22"/>
      <c r="BN50" s="22">
        <f t="shared" si="454"/>
        <v>0</v>
      </c>
      <c r="BO50" s="22">
        <f t="shared" si="527"/>
        <v>0</v>
      </c>
      <c r="BP50" s="22"/>
      <c r="BQ50" s="22">
        <f t="shared" si="456"/>
        <v>0</v>
      </c>
      <c r="BR50" s="22">
        <f t="shared" si="528"/>
        <v>0</v>
      </c>
      <c r="BS50" s="22"/>
      <c r="BT50" s="22">
        <f t="shared" si="458"/>
        <v>0</v>
      </c>
      <c r="BU50" s="22">
        <f t="shared" si="529"/>
        <v>0</v>
      </c>
      <c r="BV50" s="22"/>
      <c r="BW50" s="22">
        <f t="shared" si="460"/>
        <v>0</v>
      </c>
      <c r="BX50" s="22">
        <f t="shared" si="530"/>
        <v>0</v>
      </c>
      <c r="BY50" s="22"/>
      <c r="BZ50" s="22">
        <f t="shared" si="462"/>
        <v>0</v>
      </c>
      <c r="CA50" s="22">
        <f t="shared" si="531"/>
        <v>0</v>
      </c>
      <c r="CB50" s="22"/>
      <c r="CC50" s="22">
        <f t="shared" si="464"/>
        <v>0</v>
      </c>
      <c r="CD50" s="22">
        <f t="shared" si="532"/>
        <v>0</v>
      </c>
      <c r="CE50" s="22"/>
      <c r="CF50" s="22">
        <f t="shared" si="466"/>
        <v>0</v>
      </c>
      <c r="CG50" s="22">
        <f t="shared" si="533"/>
        <v>0</v>
      </c>
      <c r="CH50" s="22"/>
      <c r="CI50" s="22">
        <f t="shared" si="468"/>
        <v>0</v>
      </c>
      <c r="CJ50" s="22">
        <f t="shared" si="534"/>
        <v>0</v>
      </c>
      <c r="CK50" s="22"/>
      <c r="CL50" s="22">
        <f t="shared" si="470"/>
        <v>0</v>
      </c>
      <c r="CM50" s="22">
        <f t="shared" si="535"/>
        <v>0</v>
      </c>
      <c r="CN50" s="22"/>
      <c r="CO50" s="22">
        <f t="shared" si="472"/>
        <v>0</v>
      </c>
      <c r="CP50" s="22">
        <f t="shared" si="536"/>
        <v>0</v>
      </c>
      <c r="CQ50" s="22">
        <v>1</v>
      </c>
      <c r="CR50" s="22">
        <f t="shared" si="474"/>
        <v>3</v>
      </c>
      <c r="CS50" s="22">
        <f t="shared" si="537"/>
        <v>0</v>
      </c>
      <c r="CT50" s="22"/>
      <c r="CU50" s="22">
        <f t="shared" si="476"/>
        <v>0</v>
      </c>
      <c r="CV50" s="22">
        <f t="shared" si="538"/>
        <v>0</v>
      </c>
      <c r="CW50" s="22"/>
      <c r="CX50" s="22">
        <f t="shared" si="478"/>
        <v>0</v>
      </c>
      <c r="CY50" s="22">
        <f t="shared" si="539"/>
        <v>0</v>
      </c>
      <c r="CZ50" s="22"/>
      <c r="DA50" s="22">
        <f t="shared" si="480"/>
        <v>0</v>
      </c>
      <c r="DB50" s="22">
        <f t="shared" si="540"/>
        <v>0</v>
      </c>
      <c r="DC50" s="22"/>
      <c r="DD50" s="22">
        <f t="shared" si="482"/>
        <v>0</v>
      </c>
      <c r="DE50" s="22">
        <f t="shared" si="541"/>
        <v>0</v>
      </c>
      <c r="DF50" s="22"/>
      <c r="DG50" s="22">
        <f t="shared" si="484"/>
        <v>0</v>
      </c>
      <c r="DH50" s="22">
        <f t="shared" si="542"/>
        <v>0</v>
      </c>
      <c r="DI50" s="22"/>
      <c r="DJ50" s="22">
        <f t="shared" si="486"/>
        <v>0</v>
      </c>
      <c r="DK50" s="22">
        <f t="shared" si="543"/>
        <v>0</v>
      </c>
      <c r="DL50" s="22"/>
      <c r="DM50" s="22">
        <f t="shared" si="488"/>
        <v>0</v>
      </c>
      <c r="DN50" s="22">
        <f t="shared" si="544"/>
        <v>0</v>
      </c>
      <c r="DO50" s="22"/>
      <c r="DP50" s="22">
        <f t="shared" si="490"/>
        <v>0</v>
      </c>
      <c r="DQ50" s="22">
        <f t="shared" si="545"/>
        <v>0</v>
      </c>
      <c r="DR50" s="22"/>
      <c r="DS50" s="22">
        <f t="shared" si="492"/>
        <v>0</v>
      </c>
      <c r="DT50" s="22">
        <f t="shared" si="546"/>
        <v>0</v>
      </c>
      <c r="DU50" s="22"/>
      <c r="DV50" s="22">
        <f t="shared" si="494"/>
        <v>0</v>
      </c>
      <c r="DW50" s="22">
        <f t="shared" si="547"/>
        <v>0</v>
      </c>
      <c r="DX50" s="22"/>
      <c r="DY50" s="22">
        <f t="shared" si="496"/>
        <v>0</v>
      </c>
      <c r="DZ50" s="22">
        <f t="shared" si="548"/>
        <v>0</v>
      </c>
      <c r="EA50" s="22"/>
      <c r="EB50" s="22">
        <f t="shared" si="498"/>
        <v>0</v>
      </c>
      <c r="EC50" s="22">
        <f t="shared" si="549"/>
        <v>0</v>
      </c>
      <c r="ED50" s="22"/>
      <c r="EE50" s="22">
        <f t="shared" si="500"/>
        <v>0</v>
      </c>
      <c r="EF50" s="22">
        <f t="shared" si="550"/>
        <v>0</v>
      </c>
      <c r="EG50" s="22"/>
      <c r="EH50" s="22">
        <f t="shared" si="502"/>
        <v>0</v>
      </c>
      <c r="EI50" s="22">
        <f t="shared" si="551"/>
        <v>0</v>
      </c>
      <c r="EJ50" s="22"/>
      <c r="EK50" s="22">
        <f t="shared" si="504"/>
        <v>0</v>
      </c>
      <c r="EL50" s="22">
        <f t="shared" si="552"/>
        <v>0</v>
      </c>
      <c r="EM50" s="22"/>
      <c r="EN50" s="22">
        <f t="shared" si="506"/>
        <v>0</v>
      </c>
      <c r="EO50" s="22">
        <f t="shared" si="553"/>
        <v>0</v>
      </c>
    </row>
    <row r="51" spans="1:145">
      <c r="A51" s="15">
        <v>87</v>
      </c>
      <c r="B51" s="15" t="s">
        <v>479</v>
      </c>
      <c r="C51" s="16" t="s">
        <v>397</v>
      </c>
      <c r="D51" s="16" t="s">
        <v>480</v>
      </c>
      <c r="E51" s="15" t="s">
        <v>399</v>
      </c>
      <c r="F51" s="19">
        <f t="shared" si="369"/>
        <v>1</v>
      </c>
      <c r="G51" s="20"/>
      <c r="H51" s="21"/>
      <c r="I51" s="22">
        <f t="shared" si="416"/>
        <v>0</v>
      </c>
      <c r="J51" s="22">
        <f t="shared" si="508"/>
        <v>0</v>
      </c>
      <c r="K51" s="22"/>
      <c r="L51" s="22">
        <f t="shared" si="418"/>
        <v>0</v>
      </c>
      <c r="M51" s="22">
        <f t="shared" si="509"/>
        <v>0</v>
      </c>
      <c r="N51" s="22"/>
      <c r="O51" s="22">
        <f t="shared" si="420"/>
        <v>0</v>
      </c>
      <c r="P51" s="22">
        <f t="shared" si="510"/>
        <v>0</v>
      </c>
      <c r="Q51" s="22"/>
      <c r="R51" s="22">
        <f t="shared" si="422"/>
        <v>0</v>
      </c>
      <c r="S51" s="22">
        <f t="shared" si="511"/>
        <v>0</v>
      </c>
      <c r="T51" s="22"/>
      <c r="U51" s="22">
        <f t="shared" si="424"/>
        <v>0</v>
      </c>
      <c r="V51" s="22">
        <f t="shared" si="512"/>
        <v>0</v>
      </c>
      <c r="W51" s="22"/>
      <c r="X51" s="22">
        <f t="shared" si="426"/>
        <v>0</v>
      </c>
      <c r="Y51" s="22">
        <f t="shared" si="513"/>
        <v>0</v>
      </c>
      <c r="Z51" s="22"/>
      <c r="AA51" s="22">
        <f t="shared" si="428"/>
        <v>0</v>
      </c>
      <c r="AB51" s="22">
        <f t="shared" si="514"/>
        <v>0</v>
      </c>
      <c r="AC51" s="22"/>
      <c r="AD51" s="22">
        <f t="shared" si="430"/>
        <v>0</v>
      </c>
      <c r="AE51" s="22">
        <f t="shared" si="515"/>
        <v>0</v>
      </c>
      <c r="AF51" s="22"/>
      <c r="AG51" s="22">
        <f t="shared" si="432"/>
        <v>0</v>
      </c>
      <c r="AH51" s="22">
        <f t="shared" si="516"/>
        <v>0</v>
      </c>
      <c r="AI51" s="22"/>
      <c r="AJ51" s="22">
        <f t="shared" si="434"/>
        <v>0</v>
      </c>
      <c r="AK51" s="22">
        <f t="shared" si="517"/>
        <v>0</v>
      </c>
      <c r="AL51" s="22"/>
      <c r="AM51" s="22">
        <f t="shared" si="436"/>
        <v>0</v>
      </c>
      <c r="AN51" s="22">
        <f t="shared" si="518"/>
        <v>0</v>
      </c>
      <c r="AO51" s="22"/>
      <c r="AP51" s="22">
        <f t="shared" si="438"/>
        <v>0</v>
      </c>
      <c r="AQ51" s="22">
        <f t="shared" si="519"/>
        <v>0</v>
      </c>
      <c r="AR51" s="22"/>
      <c r="AS51" s="22">
        <f t="shared" si="440"/>
        <v>0</v>
      </c>
      <c r="AT51" s="22">
        <f t="shared" si="520"/>
        <v>0</v>
      </c>
      <c r="AU51" s="22"/>
      <c r="AV51" s="22">
        <f t="shared" si="442"/>
        <v>0</v>
      </c>
      <c r="AW51" s="22">
        <f t="shared" si="521"/>
        <v>0</v>
      </c>
      <c r="AX51" s="22"/>
      <c r="AY51" s="22">
        <f t="shared" si="444"/>
        <v>0</v>
      </c>
      <c r="AZ51" s="22">
        <f t="shared" si="522"/>
        <v>0</v>
      </c>
      <c r="BA51" s="22"/>
      <c r="BB51" s="22">
        <f t="shared" si="446"/>
        <v>0</v>
      </c>
      <c r="BC51" s="22">
        <f t="shared" si="523"/>
        <v>0</v>
      </c>
      <c r="BD51" s="22"/>
      <c r="BE51" s="22">
        <f t="shared" si="448"/>
        <v>0</v>
      </c>
      <c r="BF51" s="22">
        <f t="shared" si="524"/>
        <v>0</v>
      </c>
      <c r="BG51" s="22"/>
      <c r="BH51" s="22">
        <f t="shared" si="450"/>
        <v>0</v>
      </c>
      <c r="BI51" s="22">
        <f t="shared" si="525"/>
        <v>0</v>
      </c>
      <c r="BJ51" s="22"/>
      <c r="BK51" s="22">
        <f t="shared" si="452"/>
        <v>0</v>
      </c>
      <c r="BL51" s="22">
        <f t="shared" si="526"/>
        <v>0</v>
      </c>
      <c r="BM51" s="22"/>
      <c r="BN51" s="22">
        <f t="shared" si="454"/>
        <v>0</v>
      </c>
      <c r="BO51" s="22">
        <f t="shared" si="527"/>
        <v>0</v>
      </c>
      <c r="BP51" s="22"/>
      <c r="BQ51" s="22">
        <f t="shared" si="456"/>
        <v>0</v>
      </c>
      <c r="BR51" s="22">
        <f t="shared" si="528"/>
        <v>0</v>
      </c>
      <c r="BS51" s="22"/>
      <c r="BT51" s="22">
        <f t="shared" si="458"/>
        <v>0</v>
      </c>
      <c r="BU51" s="22">
        <f t="shared" si="529"/>
        <v>0</v>
      </c>
      <c r="BV51" s="22"/>
      <c r="BW51" s="22">
        <f t="shared" si="460"/>
        <v>0</v>
      </c>
      <c r="BX51" s="22">
        <f t="shared" si="530"/>
        <v>0</v>
      </c>
      <c r="BY51" s="22"/>
      <c r="BZ51" s="22">
        <f t="shared" si="462"/>
        <v>0</v>
      </c>
      <c r="CA51" s="22">
        <f t="shared" si="531"/>
        <v>0</v>
      </c>
      <c r="CB51" s="22"/>
      <c r="CC51" s="22">
        <f t="shared" si="464"/>
        <v>0</v>
      </c>
      <c r="CD51" s="22">
        <f t="shared" si="532"/>
        <v>0</v>
      </c>
      <c r="CE51" s="22"/>
      <c r="CF51" s="22">
        <f t="shared" si="466"/>
        <v>0</v>
      </c>
      <c r="CG51" s="22">
        <f t="shared" si="533"/>
        <v>0</v>
      </c>
      <c r="CH51" s="22"/>
      <c r="CI51" s="22">
        <f t="shared" si="468"/>
        <v>0</v>
      </c>
      <c r="CJ51" s="22">
        <f t="shared" si="534"/>
        <v>0</v>
      </c>
      <c r="CK51" s="22"/>
      <c r="CL51" s="22">
        <f t="shared" si="470"/>
        <v>0</v>
      </c>
      <c r="CM51" s="22">
        <f t="shared" si="535"/>
        <v>0</v>
      </c>
      <c r="CN51" s="22"/>
      <c r="CO51" s="22">
        <f t="shared" si="472"/>
        <v>0</v>
      </c>
      <c r="CP51" s="22">
        <f t="shared" si="536"/>
        <v>0</v>
      </c>
      <c r="CQ51" s="22"/>
      <c r="CR51" s="22">
        <f t="shared" si="474"/>
        <v>0</v>
      </c>
      <c r="CS51" s="22">
        <f t="shared" si="537"/>
        <v>0</v>
      </c>
      <c r="CT51" s="22">
        <v>1</v>
      </c>
      <c r="CU51" s="22">
        <f t="shared" si="476"/>
        <v>1</v>
      </c>
      <c r="CV51" s="22">
        <f t="shared" si="538"/>
        <v>0</v>
      </c>
      <c r="CW51" s="22"/>
      <c r="CX51" s="22">
        <f t="shared" si="478"/>
        <v>0</v>
      </c>
      <c r="CY51" s="22">
        <f t="shared" si="539"/>
        <v>0</v>
      </c>
      <c r="CZ51" s="22"/>
      <c r="DA51" s="22">
        <f t="shared" si="480"/>
        <v>0</v>
      </c>
      <c r="DB51" s="22">
        <f t="shared" si="540"/>
        <v>0</v>
      </c>
      <c r="DC51" s="22"/>
      <c r="DD51" s="22">
        <f t="shared" si="482"/>
        <v>0</v>
      </c>
      <c r="DE51" s="22">
        <f t="shared" si="541"/>
        <v>0</v>
      </c>
      <c r="DF51" s="22"/>
      <c r="DG51" s="22">
        <f t="shared" si="484"/>
        <v>0</v>
      </c>
      <c r="DH51" s="22">
        <f t="shared" si="542"/>
        <v>0</v>
      </c>
      <c r="DI51" s="22"/>
      <c r="DJ51" s="22">
        <f t="shared" si="486"/>
        <v>0</v>
      </c>
      <c r="DK51" s="22">
        <f t="shared" si="543"/>
        <v>0</v>
      </c>
      <c r="DL51" s="22"/>
      <c r="DM51" s="22">
        <f t="shared" si="488"/>
        <v>0</v>
      </c>
      <c r="DN51" s="22">
        <f t="shared" si="544"/>
        <v>0</v>
      </c>
      <c r="DO51" s="22"/>
      <c r="DP51" s="22">
        <f t="shared" si="490"/>
        <v>0</v>
      </c>
      <c r="DQ51" s="22">
        <f t="shared" si="545"/>
        <v>0</v>
      </c>
      <c r="DR51" s="22"/>
      <c r="DS51" s="22">
        <f t="shared" si="492"/>
        <v>0</v>
      </c>
      <c r="DT51" s="22">
        <f t="shared" si="546"/>
        <v>0</v>
      </c>
      <c r="DU51" s="22"/>
      <c r="DV51" s="22">
        <f t="shared" si="494"/>
        <v>0</v>
      </c>
      <c r="DW51" s="22">
        <f t="shared" si="547"/>
        <v>0</v>
      </c>
      <c r="DX51" s="22"/>
      <c r="DY51" s="22">
        <f t="shared" si="496"/>
        <v>0</v>
      </c>
      <c r="DZ51" s="22">
        <f t="shared" si="548"/>
        <v>0</v>
      </c>
      <c r="EA51" s="22"/>
      <c r="EB51" s="22">
        <f t="shared" si="498"/>
        <v>0</v>
      </c>
      <c r="EC51" s="22">
        <f t="shared" si="549"/>
        <v>0</v>
      </c>
      <c r="ED51" s="22"/>
      <c r="EE51" s="22">
        <f t="shared" si="500"/>
        <v>0</v>
      </c>
      <c r="EF51" s="22">
        <f t="shared" si="550"/>
        <v>0</v>
      </c>
      <c r="EG51" s="22"/>
      <c r="EH51" s="22">
        <f t="shared" si="502"/>
        <v>0</v>
      </c>
      <c r="EI51" s="22">
        <f t="shared" si="551"/>
        <v>0</v>
      </c>
      <c r="EJ51" s="22"/>
      <c r="EK51" s="22">
        <f t="shared" si="504"/>
        <v>0</v>
      </c>
      <c r="EL51" s="22">
        <f t="shared" si="552"/>
        <v>0</v>
      </c>
      <c r="EM51" s="22"/>
      <c r="EN51" s="22">
        <f t="shared" si="506"/>
        <v>0</v>
      </c>
      <c r="EO51" s="22">
        <f t="shared" si="553"/>
        <v>0</v>
      </c>
    </row>
    <row r="52" spans="1:145">
      <c r="A52" s="15">
        <v>88</v>
      </c>
      <c r="B52" s="15" t="s">
        <v>481</v>
      </c>
      <c r="C52" s="16" t="s">
        <v>374</v>
      </c>
      <c r="D52" s="15" t="s">
        <v>444</v>
      </c>
      <c r="E52" s="15" t="s">
        <v>376</v>
      </c>
      <c r="F52" s="19">
        <f t="shared" si="369"/>
        <v>1</v>
      </c>
      <c r="G52" s="20"/>
      <c r="H52" s="21"/>
      <c r="I52" s="22">
        <f t="shared" si="416"/>
        <v>0</v>
      </c>
      <c r="J52" s="22">
        <f t="shared" si="508"/>
        <v>0</v>
      </c>
      <c r="K52" s="22"/>
      <c r="L52" s="22">
        <f t="shared" si="418"/>
        <v>0</v>
      </c>
      <c r="M52" s="22">
        <f t="shared" si="509"/>
        <v>0</v>
      </c>
      <c r="N52" s="22"/>
      <c r="O52" s="22">
        <f t="shared" si="420"/>
        <v>0</v>
      </c>
      <c r="P52" s="22">
        <f t="shared" si="510"/>
        <v>0</v>
      </c>
      <c r="Q52" s="22"/>
      <c r="R52" s="22">
        <f t="shared" si="422"/>
        <v>0</v>
      </c>
      <c r="S52" s="22">
        <f t="shared" si="511"/>
        <v>0</v>
      </c>
      <c r="T52" s="22"/>
      <c r="U52" s="22">
        <f t="shared" si="424"/>
        <v>0</v>
      </c>
      <c r="V52" s="22">
        <f t="shared" si="512"/>
        <v>0</v>
      </c>
      <c r="W52" s="22"/>
      <c r="X52" s="22">
        <f t="shared" si="426"/>
        <v>0</v>
      </c>
      <c r="Y52" s="22">
        <f t="shared" si="513"/>
        <v>0</v>
      </c>
      <c r="Z52" s="22"/>
      <c r="AA52" s="22">
        <f t="shared" si="428"/>
        <v>0</v>
      </c>
      <c r="AB52" s="22">
        <f t="shared" si="514"/>
        <v>0</v>
      </c>
      <c r="AC52" s="22"/>
      <c r="AD52" s="22">
        <f t="shared" si="430"/>
        <v>0</v>
      </c>
      <c r="AE52" s="22">
        <f t="shared" si="515"/>
        <v>0</v>
      </c>
      <c r="AF52" s="22"/>
      <c r="AG52" s="22">
        <f t="shared" si="432"/>
        <v>0</v>
      </c>
      <c r="AH52" s="22">
        <f t="shared" si="516"/>
        <v>0</v>
      </c>
      <c r="AI52" s="22"/>
      <c r="AJ52" s="22">
        <f t="shared" si="434"/>
        <v>0</v>
      </c>
      <c r="AK52" s="22">
        <f t="shared" si="517"/>
        <v>0</v>
      </c>
      <c r="AL52" s="22"/>
      <c r="AM52" s="22">
        <f t="shared" si="436"/>
        <v>0</v>
      </c>
      <c r="AN52" s="22">
        <f t="shared" si="518"/>
        <v>0</v>
      </c>
      <c r="AO52" s="22"/>
      <c r="AP52" s="22">
        <f t="shared" si="438"/>
        <v>0</v>
      </c>
      <c r="AQ52" s="22">
        <f t="shared" si="519"/>
        <v>0</v>
      </c>
      <c r="AR52" s="22"/>
      <c r="AS52" s="22">
        <f t="shared" si="440"/>
        <v>0</v>
      </c>
      <c r="AT52" s="22">
        <f t="shared" si="520"/>
        <v>0</v>
      </c>
      <c r="AU52" s="22"/>
      <c r="AV52" s="22">
        <f t="shared" si="442"/>
        <v>0</v>
      </c>
      <c r="AW52" s="22">
        <f t="shared" si="521"/>
        <v>0</v>
      </c>
      <c r="AX52" s="22"/>
      <c r="AY52" s="22">
        <f t="shared" si="444"/>
        <v>0</v>
      </c>
      <c r="AZ52" s="22">
        <f t="shared" si="522"/>
        <v>0</v>
      </c>
      <c r="BA52" s="22"/>
      <c r="BB52" s="22">
        <f t="shared" si="446"/>
        <v>0</v>
      </c>
      <c r="BC52" s="22">
        <f t="shared" si="523"/>
        <v>0</v>
      </c>
      <c r="BD52" s="22"/>
      <c r="BE52" s="22">
        <f t="shared" si="448"/>
        <v>0</v>
      </c>
      <c r="BF52" s="22">
        <f t="shared" si="524"/>
        <v>0</v>
      </c>
      <c r="BG52" s="22"/>
      <c r="BH52" s="22">
        <f t="shared" si="450"/>
        <v>0</v>
      </c>
      <c r="BI52" s="22">
        <f t="shared" si="525"/>
        <v>0</v>
      </c>
      <c r="BJ52" s="22"/>
      <c r="BK52" s="22">
        <f t="shared" si="452"/>
        <v>0</v>
      </c>
      <c r="BL52" s="22">
        <f t="shared" si="526"/>
        <v>0</v>
      </c>
      <c r="BM52" s="22"/>
      <c r="BN52" s="22">
        <f t="shared" si="454"/>
        <v>0</v>
      </c>
      <c r="BO52" s="22">
        <f t="shared" si="527"/>
        <v>0</v>
      </c>
      <c r="BP52" s="22"/>
      <c r="BQ52" s="22">
        <f t="shared" si="456"/>
        <v>0</v>
      </c>
      <c r="BR52" s="22">
        <f t="shared" si="528"/>
        <v>0</v>
      </c>
      <c r="BS52" s="22"/>
      <c r="BT52" s="22">
        <f t="shared" si="458"/>
        <v>0</v>
      </c>
      <c r="BU52" s="22">
        <f t="shared" si="529"/>
        <v>0</v>
      </c>
      <c r="BV52" s="22"/>
      <c r="BW52" s="22">
        <f t="shared" si="460"/>
        <v>0</v>
      </c>
      <c r="BX52" s="22">
        <f t="shared" si="530"/>
        <v>0</v>
      </c>
      <c r="BY52" s="22"/>
      <c r="BZ52" s="22">
        <f t="shared" si="462"/>
        <v>0</v>
      </c>
      <c r="CA52" s="22">
        <f t="shared" si="531"/>
        <v>0</v>
      </c>
      <c r="CB52" s="22"/>
      <c r="CC52" s="22">
        <f t="shared" si="464"/>
        <v>0</v>
      </c>
      <c r="CD52" s="22">
        <f t="shared" si="532"/>
        <v>0</v>
      </c>
      <c r="CE52" s="22"/>
      <c r="CF52" s="22">
        <f t="shared" si="466"/>
        <v>0</v>
      </c>
      <c r="CG52" s="22">
        <f t="shared" si="533"/>
        <v>0</v>
      </c>
      <c r="CH52" s="22"/>
      <c r="CI52" s="22">
        <f t="shared" si="468"/>
        <v>0</v>
      </c>
      <c r="CJ52" s="22">
        <f t="shared" si="534"/>
        <v>0</v>
      </c>
      <c r="CK52" s="22"/>
      <c r="CL52" s="22">
        <f t="shared" si="470"/>
        <v>0</v>
      </c>
      <c r="CM52" s="22">
        <f t="shared" si="535"/>
        <v>0</v>
      </c>
      <c r="CN52" s="22"/>
      <c r="CO52" s="22">
        <f t="shared" si="472"/>
        <v>0</v>
      </c>
      <c r="CP52" s="22">
        <f t="shared" si="536"/>
        <v>0</v>
      </c>
      <c r="CQ52" s="22"/>
      <c r="CR52" s="22">
        <f t="shared" si="474"/>
        <v>0</v>
      </c>
      <c r="CS52" s="22">
        <f t="shared" si="537"/>
        <v>0</v>
      </c>
      <c r="CT52" s="22">
        <v>1</v>
      </c>
      <c r="CU52" s="22">
        <f t="shared" si="476"/>
        <v>1</v>
      </c>
      <c r="CV52" s="22">
        <f t="shared" si="538"/>
        <v>0</v>
      </c>
      <c r="CW52" s="22"/>
      <c r="CX52" s="22">
        <f t="shared" si="478"/>
        <v>0</v>
      </c>
      <c r="CY52" s="22">
        <f t="shared" si="539"/>
        <v>0</v>
      </c>
      <c r="CZ52" s="22"/>
      <c r="DA52" s="22">
        <f t="shared" si="480"/>
        <v>0</v>
      </c>
      <c r="DB52" s="22">
        <f t="shared" si="540"/>
        <v>0</v>
      </c>
      <c r="DC52" s="22"/>
      <c r="DD52" s="22">
        <f t="shared" si="482"/>
        <v>0</v>
      </c>
      <c r="DE52" s="22">
        <f t="shared" si="541"/>
        <v>0</v>
      </c>
      <c r="DF52" s="22"/>
      <c r="DG52" s="22">
        <f t="shared" si="484"/>
        <v>0</v>
      </c>
      <c r="DH52" s="22">
        <f t="shared" si="542"/>
        <v>0</v>
      </c>
      <c r="DI52" s="22"/>
      <c r="DJ52" s="22">
        <f t="shared" si="486"/>
        <v>0</v>
      </c>
      <c r="DK52" s="22">
        <f t="shared" si="543"/>
        <v>0</v>
      </c>
      <c r="DL52" s="22"/>
      <c r="DM52" s="22">
        <f t="shared" si="488"/>
        <v>0</v>
      </c>
      <c r="DN52" s="22">
        <f t="shared" si="544"/>
        <v>0</v>
      </c>
      <c r="DO52" s="22"/>
      <c r="DP52" s="22">
        <f t="shared" si="490"/>
        <v>0</v>
      </c>
      <c r="DQ52" s="22">
        <f t="shared" si="545"/>
        <v>0</v>
      </c>
      <c r="DR52" s="22"/>
      <c r="DS52" s="22">
        <f t="shared" si="492"/>
        <v>0</v>
      </c>
      <c r="DT52" s="22">
        <f t="shared" si="546"/>
        <v>0</v>
      </c>
      <c r="DU52" s="22"/>
      <c r="DV52" s="22">
        <f t="shared" si="494"/>
        <v>0</v>
      </c>
      <c r="DW52" s="22">
        <f t="shared" si="547"/>
        <v>0</v>
      </c>
      <c r="DX52" s="22"/>
      <c r="DY52" s="22">
        <f t="shared" si="496"/>
        <v>0</v>
      </c>
      <c r="DZ52" s="22">
        <f t="shared" si="548"/>
        <v>0</v>
      </c>
      <c r="EA52" s="22"/>
      <c r="EB52" s="22">
        <f t="shared" si="498"/>
        <v>0</v>
      </c>
      <c r="EC52" s="22">
        <f t="shared" si="549"/>
        <v>0</v>
      </c>
      <c r="ED52" s="22"/>
      <c r="EE52" s="22">
        <f t="shared" si="500"/>
        <v>0</v>
      </c>
      <c r="EF52" s="22">
        <f t="shared" si="550"/>
        <v>0</v>
      </c>
      <c r="EG52" s="22"/>
      <c r="EH52" s="22">
        <f t="shared" si="502"/>
        <v>0</v>
      </c>
      <c r="EI52" s="22">
        <f t="shared" si="551"/>
        <v>0</v>
      </c>
      <c r="EJ52" s="22"/>
      <c r="EK52" s="22">
        <f t="shared" si="504"/>
        <v>0</v>
      </c>
      <c r="EL52" s="22">
        <f t="shared" si="552"/>
        <v>0</v>
      </c>
      <c r="EM52" s="22"/>
      <c r="EN52" s="22">
        <f t="shared" si="506"/>
        <v>0</v>
      </c>
      <c r="EO52" s="22">
        <f t="shared" si="553"/>
        <v>0</v>
      </c>
    </row>
    <row r="53" spans="1:145">
      <c r="A53" s="15">
        <v>89</v>
      </c>
      <c r="B53" s="15" t="s">
        <v>482</v>
      </c>
      <c r="C53" s="16" t="s">
        <v>397</v>
      </c>
      <c r="D53" s="15" t="s">
        <v>483</v>
      </c>
      <c r="E53" s="15" t="s">
        <v>399</v>
      </c>
      <c r="F53" s="19">
        <f t="shared" si="369"/>
        <v>24</v>
      </c>
      <c r="G53" s="20"/>
      <c r="H53" s="21"/>
      <c r="I53" s="22">
        <f t="shared" si="416"/>
        <v>0</v>
      </c>
      <c r="J53" s="22">
        <f t="shared" si="508"/>
        <v>0</v>
      </c>
      <c r="K53" s="22"/>
      <c r="L53" s="22">
        <f t="shared" si="418"/>
        <v>0</v>
      </c>
      <c r="M53" s="22">
        <f t="shared" si="509"/>
        <v>0</v>
      </c>
      <c r="N53" s="22"/>
      <c r="O53" s="22">
        <f t="shared" si="420"/>
        <v>0</v>
      </c>
      <c r="P53" s="22">
        <f t="shared" si="510"/>
        <v>0</v>
      </c>
      <c r="Q53" s="22"/>
      <c r="R53" s="22">
        <f t="shared" si="422"/>
        <v>0</v>
      </c>
      <c r="S53" s="22">
        <f t="shared" si="511"/>
        <v>0</v>
      </c>
      <c r="T53" s="22"/>
      <c r="U53" s="22">
        <f t="shared" si="424"/>
        <v>0</v>
      </c>
      <c r="V53" s="22">
        <f t="shared" si="512"/>
        <v>0</v>
      </c>
      <c r="W53" s="22"/>
      <c r="X53" s="22">
        <f t="shared" si="426"/>
        <v>0</v>
      </c>
      <c r="Y53" s="22">
        <f t="shared" si="513"/>
        <v>0</v>
      </c>
      <c r="Z53" s="22"/>
      <c r="AA53" s="22">
        <f t="shared" si="428"/>
        <v>0</v>
      </c>
      <c r="AB53" s="22">
        <f t="shared" si="514"/>
        <v>0</v>
      </c>
      <c r="AC53" s="22"/>
      <c r="AD53" s="22">
        <f t="shared" si="430"/>
        <v>0</v>
      </c>
      <c r="AE53" s="22">
        <f t="shared" si="515"/>
        <v>0</v>
      </c>
      <c r="AF53" s="22"/>
      <c r="AG53" s="22">
        <f t="shared" si="432"/>
        <v>0</v>
      </c>
      <c r="AH53" s="22">
        <f t="shared" si="516"/>
        <v>0</v>
      </c>
      <c r="AI53" s="22"/>
      <c r="AJ53" s="22">
        <f t="shared" si="434"/>
        <v>0</v>
      </c>
      <c r="AK53" s="22">
        <f t="shared" si="517"/>
        <v>0</v>
      </c>
      <c r="AL53" s="22"/>
      <c r="AM53" s="22">
        <f t="shared" si="436"/>
        <v>0</v>
      </c>
      <c r="AN53" s="22">
        <f t="shared" si="518"/>
        <v>0</v>
      </c>
      <c r="AO53" s="22"/>
      <c r="AP53" s="22">
        <f t="shared" si="438"/>
        <v>0</v>
      </c>
      <c r="AQ53" s="22">
        <f t="shared" si="519"/>
        <v>0</v>
      </c>
      <c r="AR53" s="22"/>
      <c r="AS53" s="22">
        <f t="shared" si="440"/>
        <v>0</v>
      </c>
      <c r="AT53" s="22">
        <f t="shared" si="520"/>
        <v>0</v>
      </c>
      <c r="AU53" s="22"/>
      <c r="AV53" s="22">
        <f t="shared" si="442"/>
        <v>0</v>
      </c>
      <c r="AW53" s="22">
        <f t="shared" si="521"/>
        <v>0</v>
      </c>
      <c r="AX53" s="22"/>
      <c r="AY53" s="22">
        <f t="shared" si="444"/>
        <v>0</v>
      </c>
      <c r="AZ53" s="22">
        <f t="shared" si="522"/>
        <v>0</v>
      </c>
      <c r="BA53" s="22"/>
      <c r="BB53" s="22">
        <f t="shared" si="446"/>
        <v>0</v>
      </c>
      <c r="BC53" s="22">
        <f t="shared" si="523"/>
        <v>0</v>
      </c>
      <c r="BD53" s="22"/>
      <c r="BE53" s="22">
        <f t="shared" si="448"/>
        <v>0</v>
      </c>
      <c r="BF53" s="22">
        <f t="shared" si="524"/>
        <v>0</v>
      </c>
      <c r="BG53" s="22"/>
      <c r="BH53" s="22">
        <f t="shared" si="450"/>
        <v>0</v>
      </c>
      <c r="BI53" s="22">
        <f t="shared" si="525"/>
        <v>0</v>
      </c>
      <c r="BJ53" s="22"/>
      <c r="BK53" s="22">
        <f t="shared" si="452"/>
        <v>0</v>
      </c>
      <c r="BL53" s="22">
        <f t="shared" si="526"/>
        <v>0</v>
      </c>
      <c r="BM53" s="22"/>
      <c r="BN53" s="22">
        <f t="shared" si="454"/>
        <v>0</v>
      </c>
      <c r="BO53" s="22">
        <f t="shared" si="527"/>
        <v>0</v>
      </c>
      <c r="BP53" s="22"/>
      <c r="BQ53" s="22">
        <f t="shared" si="456"/>
        <v>0</v>
      </c>
      <c r="BR53" s="22">
        <f t="shared" si="528"/>
        <v>0</v>
      </c>
      <c r="BS53" s="22"/>
      <c r="BT53" s="22">
        <f t="shared" si="458"/>
        <v>0</v>
      </c>
      <c r="BU53" s="22">
        <f t="shared" si="529"/>
        <v>0</v>
      </c>
      <c r="BV53" s="22"/>
      <c r="BW53" s="22">
        <f t="shared" si="460"/>
        <v>0</v>
      </c>
      <c r="BX53" s="22">
        <f t="shared" si="530"/>
        <v>0</v>
      </c>
      <c r="BY53" s="22"/>
      <c r="BZ53" s="22">
        <f t="shared" si="462"/>
        <v>0</v>
      </c>
      <c r="CA53" s="22">
        <f t="shared" si="531"/>
        <v>0</v>
      </c>
      <c r="CB53" s="22"/>
      <c r="CC53" s="22">
        <f t="shared" si="464"/>
        <v>0</v>
      </c>
      <c r="CD53" s="22">
        <f t="shared" si="532"/>
        <v>0</v>
      </c>
      <c r="CE53" s="22"/>
      <c r="CF53" s="22">
        <f t="shared" si="466"/>
        <v>0</v>
      </c>
      <c r="CG53" s="22">
        <f t="shared" si="533"/>
        <v>0</v>
      </c>
      <c r="CH53" s="22"/>
      <c r="CI53" s="22">
        <f t="shared" si="468"/>
        <v>0</v>
      </c>
      <c r="CJ53" s="22">
        <f t="shared" si="534"/>
        <v>0</v>
      </c>
      <c r="CK53" s="22"/>
      <c r="CL53" s="22">
        <f t="shared" si="470"/>
        <v>0</v>
      </c>
      <c r="CM53" s="22">
        <f t="shared" si="535"/>
        <v>0</v>
      </c>
      <c r="CN53" s="22"/>
      <c r="CO53" s="22">
        <f t="shared" si="472"/>
        <v>0</v>
      </c>
      <c r="CP53" s="22">
        <f t="shared" si="536"/>
        <v>0</v>
      </c>
      <c r="CQ53" s="22"/>
      <c r="CR53" s="22">
        <f t="shared" si="474"/>
        <v>0</v>
      </c>
      <c r="CS53" s="22">
        <f t="shared" si="537"/>
        <v>0</v>
      </c>
      <c r="CT53" s="22"/>
      <c r="CU53" s="22">
        <f t="shared" si="476"/>
        <v>0</v>
      </c>
      <c r="CV53" s="22">
        <f t="shared" si="538"/>
        <v>0</v>
      </c>
      <c r="CW53" s="22">
        <v>1</v>
      </c>
      <c r="CX53" s="22">
        <f t="shared" si="478"/>
        <v>12</v>
      </c>
      <c r="CY53" s="22">
        <f t="shared" si="539"/>
        <v>0</v>
      </c>
      <c r="CZ53" s="22">
        <v>1</v>
      </c>
      <c r="DA53" s="22">
        <f t="shared" si="480"/>
        <v>6</v>
      </c>
      <c r="DB53" s="22">
        <f t="shared" si="540"/>
        <v>0</v>
      </c>
      <c r="DC53" s="22">
        <v>1</v>
      </c>
      <c r="DD53" s="22">
        <f t="shared" si="482"/>
        <v>6</v>
      </c>
      <c r="DE53" s="22">
        <f t="shared" si="541"/>
        <v>0</v>
      </c>
      <c r="DF53" s="22"/>
      <c r="DG53" s="22">
        <f t="shared" si="484"/>
        <v>0</v>
      </c>
      <c r="DH53" s="22">
        <f t="shared" si="542"/>
        <v>0</v>
      </c>
      <c r="DI53" s="22"/>
      <c r="DJ53" s="22">
        <f t="shared" si="486"/>
        <v>0</v>
      </c>
      <c r="DK53" s="22">
        <f t="shared" si="543"/>
        <v>0</v>
      </c>
      <c r="DL53" s="22"/>
      <c r="DM53" s="22">
        <f t="shared" si="488"/>
        <v>0</v>
      </c>
      <c r="DN53" s="22">
        <f t="shared" si="544"/>
        <v>0</v>
      </c>
      <c r="DO53" s="22"/>
      <c r="DP53" s="22">
        <f t="shared" si="490"/>
        <v>0</v>
      </c>
      <c r="DQ53" s="22">
        <f t="shared" si="545"/>
        <v>0</v>
      </c>
      <c r="DR53" s="22"/>
      <c r="DS53" s="22">
        <f t="shared" si="492"/>
        <v>0</v>
      </c>
      <c r="DT53" s="22">
        <f t="shared" si="546"/>
        <v>0</v>
      </c>
      <c r="DU53" s="22"/>
      <c r="DV53" s="22">
        <f t="shared" si="494"/>
        <v>0</v>
      </c>
      <c r="DW53" s="22">
        <f t="shared" si="547"/>
        <v>0</v>
      </c>
      <c r="DX53" s="22"/>
      <c r="DY53" s="22">
        <f t="shared" si="496"/>
        <v>0</v>
      </c>
      <c r="DZ53" s="22">
        <f t="shared" si="548"/>
        <v>0</v>
      </c>
      <c r="EA53" s="22"/>
      <c r="EB53" s="22">
        <f t="shared" si="498"/>
        <v>0</v>
      </c>
      <c r="EC53" s="22">
        <f t="shared" si="549"/>
        <v>0</v>
      </c>
      <c r="ED53" s="22"/>
      <c r="EE53" s="22">
        <f t="shared" si="500"/>
        <v>0</v>
      </c>
      <c r="EF53" s="22">
        <f t="shared" si="550"/>
        <v>0</v>
      </c>
      <c r="EG53" s="22"/>
      <c r="EH53" s="22">
        <f t="shared" si="502"/>
        <v>0</v>
      </c>
      <c r="EI53" s="22">
        <f t="shared" si="551"/>
        <v>0</v>
      </c>
      <c r="EJ53" s="22"/>
      <c r="EK53" s="22">
        <f t="shared" si="504"/>
        <v>0</v>
      </c>
      <c r="EL53" s="22">
        <f t="shared" si="552"/>
        <v>0</v>
      </c>
      <c r="EM53" s="22"/>
      <c r="EN53" s="22">
        <f t="shared" si="506"/>
        <v>0</v>
      </c>
      <c r="EO53" s="22">
        <f t="shared" si="553"/>
        <v>0</v>
      </c>
    </row>
    <row r="54" spans="1:145">
      <c r="A54" s="15">
        <v>90</v>
      </c>
      <c r="B54" s="15" t="s">
        <v>484</v>
      </c>
      <c r="C54" s="16" t="s">
        <v>374</v>
      </c>
      <c r="D54" s="15" t="s">
        <v>485</v>
      </c>
      <c r="E54" s="15" t="s">
        <v>376</v>
      </c>
      <c r="F54" s="19">
        <f t="shared" si="369"/>
        <v>12</v>
      </c>
      <c r="G54" s="20"/>
      <c r="H54" s="21"/>
      <c r="I54" s="22">
        <f t="shared" si="416"/>
        <v>0</v>
      </c>
      <c r="J54" s="22">
        <f>$G54*H54</f>
        <v>0</v>
      </c>
      <c r="K54" s="22"/>
      <c r="L54" s="22">
        <f t="shared" si="418"/>
        <v>0</v>
      </c>
      <c r="M54" s="22">
        <f>$G54*K54</f>
        <v>0</v>
      </c>
      <c r="N54" s="22"/>
      <c r="O54" s="22">
        <f t="shared" si="420"/>
        <v>0</v>
      </c>
      <c r="P54" s="22">
        <f>$G54*N54</f>
        <v>0</v>
      </c>
      <c r="Q54" s="22"/>
      <c r="R54" s="22">
        <f t="shared" si="422"/>
        <v>0</v>
      </c>
      <c r="S54" s="22">
        <f>$G54*Q54</f>
        <v>0</v>
      </c>
      <c r="T54" s="22"/>
      <c r="U54" s="22">
        <f t="shared" si="424"/>
        <v>0</v>
      </c>
      <c r="V54" s="22">
        <f>$G54*T54</f>
        <v>0</v>
      </c>
      <c r="W54" s="22"/>
      <c r="X54" s="22">
        <f t="shared" si="426"/>
        <v>0</v>
      </c>
      <c r="Y54" s="22">
        <f>$G54*W54</f>
        <v>0</v>
      </c>
      <c r="Z54" s="22"/>
      <c r="AA54" s="22">
        <f t="shared" si="428"/>
        <v>0</v>
      </c>
      <c r="AB54" s="22">
        <f>$G54*Z54</f>
        <v>0</v>
      </c>
      <c r="AC54" s="22"/>
      <c r="AD54" s="22">
        <f t="shared" si="430"/>
        <v>0</v>
      </c>
      <c r="AE54" s="22">
        <f>$G54*AC54</f>
        <v>0</v>
      </c>
      <c r="AF54" s="22"/>
      <c r="AG54" s="22">
        <f t="shared" si="432"/>
        <v>0</v>
      </c>
      <c r="AH54" s="22">
        <f>$G54*AF54</f>
        <v>0</v>
      </c>
      <c r="AI54" s="22"/>
      <c r="AJ54" s="22">
        <f t="shared" si="434"/>
        <v>0</v>
      </c>
      <c r="AK54" s="22">
        <f>$G54*AI54</f>
        <v>0</v>
      </c>
      <c r="AL54" s="22"/>
      <c r="AM54" s="22">
        <f t="shared" si="436"/>
        <v>0</v>
      </c>
      <c r="AN54" s="22">
        <f>$G54*AL54</f>
        <v>0</v>
      </c>
      <c r="AO54" s="22"/>
      <c r="AP54" s="22">
        <f t="shared" si="438"/>
        <v>0</v>
      </c>
      <c r="AQ54" s="22">
        <f>$G54*AO54</f>
        <v>0</v>
      </c>
      <c r="AR54" s="22"/>
      <c r="AS54" s="22">
        <f t="shared" si="440"/>
        <v>0</v>
      </c>
      <c r="AT54" s="22">
        <f>$G54*AR54</f>
        <v>0</v>
      </c>
      <c r="AU54" s="22"/>
      <c r="AV54" s="22">
        <f t="shared" si="442"/>
        <v>0</v>
      </c>
      <c r="AW54" s="22">
        <f>$G54*AU54</f>
        <v>0</v>
      </c>
      <c r="AX54" s="22"/>
      <c r="AY54" s="22">
        <f t="shared" si="444"/>
        <v>0</v>
      </c>
      <c r="AZ54" s="22">
        <f>$G54*AX54</f>
        <v>0</v>
      </c>
      <c r="BA54" s="22"/>
      <c r="BB54" s="22">
        <f t="shared" si="446"/>
        <v>0</v>
      </c>
      <c r="BC54" s="22">
        <f>$G54*BA54</f>
        <v>0</v>
      </c>
      <c r="BD54" s="22"/>
      <c r="BE54" s="22">
        <f t="shared" si="448"/>
        <v>0</v>
      </c>
      <c r="BF54" s="22">
        <f>$G54*BD54</f>
        <v>0</v>
      </c>
      <c r="BG54" s="22"/>
      <c r="BH54" s="22">
        <f t="shared" si="450"/>
        <v>0</v>
      </c>
      <c r="BI54" s="22">
        <f>$G54*BG54</f>
        <v>0</v>
      </c>
      <c r="BJ54" s="22"/>
      <c r="BK54" s="22">
        <f t="shared" si="452"/>
        <v>0</v>
      </c>
      <c r="BL54" s="22">
        <f>$G54*BJ54</f>
        <v>0</v>
      </c>
      <c r="BM54" s="22"/>
      <c r="BN54" s="22">
        <f t="shared" si="454"/>
        <v>0</v>
      </c>
      <c r="BO54" s="22">
        <f>$G54*BM54</f>
        <v>0</v>
      </c>
      <c r="BP54" s="22"/>
      <c r="BQ54" s="22">
        <f t="shared" si="456"/>
        <v>0</v>
      </c>
      <c r="BR54" s="22">
        <f>$G54*BP54</f>
        <v>0</v>
      </c>
      <c r="BS54" s="22"/>
      <c r="BT54" s="22">
        <f t="shared" si="458"/>
        <v>0</v>
      </c>
      <c r="BU54" s="22">
        <f>$G54*BS54</f>
        <v>0</v>
      </c>
      <c r="BV54" s="22"/>
      <c r="BW54" s="22">
        <f t="shared" si="460"/>
        <v>0</v>
      </c>
      <c r="BX54" s="22">
        <f>$G54*BV54</f>
        <v>0</v>
      </c>
      <c r="BY54" s="22"/>
      <c r="BZ54" s="22">
        <f t="shared" si="462"/>
        <v>0</v>
      </c>
      <c r="CA54" s="22">
        <f>$G54*BY54</f>
        <v>0</v>
      </c>
      <c r="CB54" s="22"/>
      <c r="CC54" s="22">
        <f t="shared" si="464"/>
        <v>0</v>
      </c>
      <c r="CD54" s="22">
        <f>$G54*CB54</f>
        <v>0</v>
      </c>
      <c r="CE54" s="22"/>
      <c r="CF54" s="22">
        <f t="shared" si="466"/>
        <v>0</v>
      </c>
      <c r="CG54" s="22">
        <f>$G54*CE54</f>
        <v>0</v>
      </c>
      <c r="CH54" s="22"/>
      <c r="CI54" s="22">
        <f t="shared" si="468"/>
        <v>0</v>
      </c>
      <c r="CJ54" s="22">
        <f>$G54*CH54</f>
        <v>0</v>
      </c>
      <c r="CK54" s="22"/>
      <c r="CL54" s="22">
        <f t="shared" si="470"/>
        <v>0</v>
      </c>
      <c r="CM54" s="22">
        <f>$G54*CK54</f>
        <v>0</v>
      </c>
      <c r="CN54" s="22"/>
      <c r="CO54" s="22">
        <f t="shared" si="472"/>
        <v>0</v>
      </c>
      <c r="CP54" s="22">
        <f>$G54*CN54</f>
        <v>0</v>
      </c>
      <c r="CQ54" s="22"/>
      <c r="CR54" s="22">
        <f t="shared" si="474"/>
        <v>0</v>
      </c>
      <c r="CS54" s="22">
        <f>$G54*CQ54</f>
        <v>0</v>
      </c>
      <c r="CT54" s="22"/>
      <c r="CU54" s="22">
        <f t="shared" si="476"/>
        <v>0</v>
      </c>
      <c r="CV54" s="22">
        <f>$G54*CT54</f>
        <v>0</v>
      </c>
      <c r="CW54" s="22">
        <v>1</v>
      </c>
      <c r="CX54" s="22">
        <f t="shared" si="478"/>
        <v>12</v>
      </c>
      <c r="CY54" s="22">
        <f>$G54*CW54</f>
        <v>0</v>
      </c>
      <c r="CZ54" s="22"/>
      <c r="DA54" s="22">
        <f t="shared" si="480"/>
        <v>0</v>
      </c>
      <c r="DB54" s="22">
        <f>$G54*CZ54</f>
        <v>0</v>
      </c>
      <c r="DC54" s="22"/>
      <c r="DD54" s="22">
        <f t="shared" si="482"/>
        <v>0</v>
      </c>
      <c r="DE54" s="22">
        <f>$G54*DC54</f>
        <v>0</v>
      </c>
      <c r="DF54" s="22"/>
      <c r="DG54" s="22">
        <f t="shared" si="484"/>
        <v>0</v>
      </c>
      <c r="DH54" s="22">
        <f>$G54*DF54</f>
        <v>0</v>
      </c>
      <c r="DI54" s="22"/>
      <c r="DJ54" s="22">
        <f t="shared" si="486"/>
        <v>0</v>
      </c>
      <c r="DK54" s="22">
        <f>$G54*DI54</f>
        <v>0</v>
      </c>
      <c r="DL54" s="22"/>
      <c r="DM54" s="22">
        <f t="shared" si="488"/>
        <v>0</v>
      </c>
      <c r="DN54" s="22">
        <f>$G54*DL54</f>
        <v>0</v>
      </c>
      <c r="DO54" s="22"/>
      <c r="DP54" s="22">
        <f t="shared" si="490"/>
        <v>0</v>
      </c>
      <c r="DQ54" s="22">
        <f>$G54*DO54</f>
        <v>0</v>
      </c>
      <c r="DR54" s="22"/>
      <c r="DS54" s="22">
        <f t="shared" si="492"/>
        <v>0</v>
      </c>
      <c r="DT54" s="22">
        <f>$G54*DR54</f>
        <v>0</v>
      </c>
      <c r="DU54" s="22"/>
      <c r="DV54" s="22">
        <f t="shared" si="494"/>
        <v>0</v>
      </c>
      <c r="DW54" s="22">
        <f>$G54*DU54</f>
        <v>0</v>
      </c>
      <c r="DX54" s="22"/>
      <c r="DY54" s="22">
        <f t="shared" si="496"/>
        <v>0</v>
      </c>
      <c r="DZ54" s="22">
        <f>$G54*DX54</f>
        <v>0</v>
      </c>
      <c r="EA54" s="22"/>
      <c r="EB54" s="22">
        <f t="shared" si="498"/>
        <v>0</v>
      </c>
      <c r="EC54" s="22">
        <f>$G54*EA54</f>
        <v>0</v>
      </c>
      <c r="ED54" s="22"/>
      <c r="EE54" s="22">
        <f t="shared" si="500"/>
        <v>0</v>
      </c>
      <c r="EF54" s="22">
        <f>$G54*ED54</f>
        <v>0</v>
      </c>
      <c r="EG54" s="22"/>
      <c r="EH54" s="22">
        <f t="shared" si="502"/>
        <v>0</v>
      </c>
      <c r="EI54" s="22">
        <f>$G54*EG54</f>
        <v>0</v>
      </c>
      <c r="EJ54" s="22"/>
      <c r="EK54" s="22">
        <f t="shared" si="504"/>
        <v>0</v>
      </c>
      <c r="EL54" s="22">
        <f>$G54*EJ54</f>
        <v>0</v>
      </c>
      <c r="EM54" s="22"/>
      <c r="EN54" s="22">
        <f t="shared" si="506"/>
        <v>0</v>
      </c>
      <c r="EO54" s="22">
        <f>$G54*EM54</f>
        <v>0</v>
      </c>
    </row>
    <row r="55" spans="1:145">
      <c r="A55" s="15">
        <v>91</v>
      </c>
      <c r="B55" s="17" t="s">
        <v>377</v>
      </c>
      <c r="C55" s="16" t="s">
        <v>378</v>
      </c>
      <c r="D55" s="17" t="s">
        <v>486</v>
      </c>
      <c r="E55" s="18" t="s">
        <v>380</v>
      </c>
      <c r="F55" s="19">
        <f t="shared" si="369"/>
        <v>18</v>
      </c>
      <c r="G55" s="20"/>
      <c r="H55" s="21"/>
      <c r="I55" s="22">
        <f t="shared" si="416"/>
        <v>0</v>
      </c>
      <c r="J55" s="22">
        <f t="shared" ref="J55" si="554">$G55*H55</f>
        <v>0</v>
      </c>
      <c r="K55" s="22"/>
      <c r="L55" s="22">
        <f t="shared" si="418"/>
        <v>0</v>
      </c>
      <c r="M55" s="22">
        <f t="shared" ref="M55" si="555">$G55*K55</f>
        <v>0</v>
      </c>
      <c r="N55" s="22"/>
      <c r="O55" s="22">
        <f t="shared" si="420"/>
        <v>0</v>
      </c>
      <c r="P55" s="22">
        <f t="shared" ref="P55" si="556">$G55*N55</f>
        <v>0</v>
      </c>
      <c r="Q55" s="22"/>
      <c r="R55" s="22">
        <f t="shared" si="422"/>
        <v>0</v>
      </c>
      <c r="S55" s="22">
        <f t="shared" ref="S55" si="557">$G55*Q55</f>
        <v>0</v>
      </c>
      <c r="T55" s="22"/>
      <c r="U55" s="22">
        <f t="shared" si="424"/>
        <v>0</v>
      </c>
      <c r="V55" s="22">
        <f t="shared" ref="V55" si="558">$G55*T55</f>
        <v>0</v>
      </c>
      <c r="W55" s="22"/>
      <c r="X55" s="22">
        <f t="shared" si="426"/>
        <v>0</v>
      </c>
      <c r="Y55" s="22">
        <f t="shared" ref="Y55" si="559">$G55*W55</f>
        <v>0</v>
      </c>
      <c r="Z55" s="22"/>
      <c r="AA55" s="22">
        <f t="shared" si="428"/>
        <v>0</v>
      </c>
      <c r="AB55" s="22">
        <f t="shared" ref="AB55" si="560">$G55*Z55</f>
        <v>0</v>
      </c>
      <c r="AC55" s="22"/>
      <c r="AD55" s="22">
        <f t="shared" si="430"/>
        <v>0</v>
      </c>
      <c r="AE55" s="22">
        <f t="shared" ref="AE55" si="561">$G55*AC55</f>
        <v>0</v>
      </c>
      <c r="AF55" s="22"/>
      <c r="AG55" s="22">
        <f t="shared" si="432"/>
        <v>0</v>
      </c>
      <c r="AH55" s="22">
        <f t="shared" ref="AH55" si="562">$G55*AF55</f>
        <v>0</v>
      </c>
      <c r="AI55" s="22"/>
      <c r="AJ55" s="22">
        <f t="shared" si="434"/>
        <v>0</v>
      </c>
      <c r="AK55" s="22">
        <f t="shared" ref="AK55" si="563">$G55*AI55</f>
        <v>0</v>
      </c>
      <c r="AL55" s="22"/>
      <c r="AM55" s="22">
        <f t="shared" si="436"/>
        <v>0</v>
      </c>
      <c r="AN55" s="22">
        <f t="shared" ref="AN55" si="564">$G55*AL55</f>
        <v>0</v>
      </c>
      <c r="AO55" s="22"/>
      <c r="AP55" s="22">
        <f t="shared" si="438"/>
        <v>0</v>
      </c>
      <c r="AQ55" s="22">
        <f t="shared" ref="AQ55" si="565">$G55*AO55</f>
        <v>0</v>
      </c>
      <c r="AR55" s="22"/>
      <c r="AS55" s="22">
        <f t="shared" si="440"/>
        <v>0</v>
      </c>
      <c r="AT55" s="22">
        <f t="shared" ref="AT55" si="566">$G55*AR55</f>
        <v>0</v>
      </c>
      <c r="AU55" s="22"/>
      <c r="AV55" s="22">
        <f t="shared" si="442"/>
        <v>0</v>
      </c>
      <c r="AW55" s="22">
        <f t="shared" ref="AW55" si="567">$G55*AU55</f>
        <v>0</v>
      </c>
      <c r="AX55" s="22"/>
      <c r="AY55" s="22">
        <f t="shared" si="444"/>
        <v>0</v>
      </c>
      <c r="AZ55" s="22">
        <f t="shared" ref="AZ55" si="568">$G55*AX55</f>
        <v>0</v>
      </c>
      <c r="BA55" s="22"/>
      <c r="BB55" s="22">
        <f t="shared" si="446"/>
        <v>0</v>
      </c>
      <c r="BC55" s="22">
        <f t="shared" ref="BC55" si="569">$G55*BA55</f>
        <v>0</v>
      </c>
      <c r="BD55" s="22"/>
      <c r="BE55" s="22">
        <f t="shared" si="448"/>
        <v>0</v>
      </c>
      <c r="BF55" s="22">
        <f t="shared" ref="BF55" si="570">$G55*BD55</f>
        <v>0</v>
      </c>
      <c r="BG55" s="22"/>
      <c r="BH55" s="22">
        <f t="shared" si="450"/>
        <v>0</v>
      </c>
      <c r="BI55" s="22">
        <f t="shared" ref="BI55" si="571">$G55*BG55</f>
        <v>0</v>
      </c>
      <c r="BJ55" s="22"/>
      <c r="BK55" s="22">
        <f t="shared" si="452"/>
        <v>0</v>
      </c>
      <c r="BL55" s="22">
        <f t="shared" ref="BL55" si="572">$G55*BJ55</f>
        <v>0</v>
      </c>
      <c r="BM55" s="22"/>
      <c r="BN55" s="22">
        <f t="shared" si="454"/>
        <v>0</v>
      </c>
      <c r="BO55" s="22">
        <f t="shared" ref="BO55" si="573">$G55*BM55</f>
        <v>0</v>
      </c>
      <c r="BP55" s="22"/>
      <c r="BQ55" s="22">
        <f t="shared" si="456"/>
        <v>0</v>
      </c>
      <c r="BR55" s="22">
        <f t="shared" ref="BR55" si="574">$G55*BP55</f>
        <v>0</v>
      </c>
      <c r="BS55" s="22"/>
      <c r="BT55" s="22">
        <f t="shared" si="458"/>
        <v>0</v>
      </c>
      <c r="BU55" s="22">
        <f t="shared" ref="BU55" si="575">$G55*BS55</f>
        <v>0</v>
      </c>
      <c r="BV55" s="22"/>
      <c r="BW55" s="22">
        <f t="shared" si="460"/>
        <v>0</v>
      </c>
      <c r="BX55" s="22">
        <f t="shared" ref="BX55" si="576">$G55*BV55</f>
        <v>0</v>
      </c>
      <c r="BY55" s="22"/>
      <c r="BZ55" s="22">
        <f t="shared" si="462"/>
        <v>0</v>
      </c>
      <c r="CA55" s="22">
        <f t="shared" ref="CA55" si="577">$G55*BY55</f>
        <v>0</v>
      </c>
      <c r="CB55" s="22"/>
      <c r="CC55" s="22">
        <f t="shared" si="464"/>
        <v>0</v>
      </c>
      <c r="CD55" s="22">
        <f t="shared" ref="CD55" si="578">$G55*CB55</f>
        <v>0</v>
      </c>
      <c r="CE55" s="22"/>
      <c r="CF55" s="22">
        <f t="shared" si="466"/>
        <v>0</v>
      </c>
      <c r="CG55" s="22">
        <f t="shared" ref="CG55" si="579">$G55*CE55</f>
        <v>0</v>
      </c>
      <c r="CH55" s="22"/>
      <c r="CI55" s="22">
        <f t="shared" si="468"/>
        <v>0</v>
      </c>
      <c r="CJ55" s="22">
        <f t="shared" ref="CJ55" si="580">$G55*CH55</f>
        <v>0</v>
      </c>
      <c r="CK55" s="22"/>
      <c r="CL55" s="22">
        <f t="shared" si="470"/>
        <v>0</v>
      </c>
      <c r="CM55" s="22">
        <f t="shared" ref="CM55" si="581">$G55*CK55</f>
        <v>0</v>
      </c>
      <c r="CN55" s="22"/>
      <c r="CO55" s="22">
        <f t="shared" si="472"/>
        <v>0</v>
      </c>
      <c r="CP55" s="22">
        <f t="shared" ref="CP55" si="582">$G55*CN55</f>
        <v>0</v>
      </c>
      <c r="CQ55" s="22"/>
      <c r="CR55" s="22">
        <f t="shared" si="474"/>
        <v>0</v>
      </c>
      <c r="CS55" s="22">
        <f t="shared" ref="CS55" si="583">$G55*CQ55</f>
        <v>0</v>
      </c>
      <c r="CT55" s="22"/>
      <c r="CU55" s="22">
        <f t="shared" si="476"/>
        <v>0</v>
      </c>
      <c r="CV55" s="22">
        <f t="shared" ref="CV55" si="584">$G55*CT55</f>
        <v>0</v>
      </c>
      <c r="CW55" s="22">
        <v>1</v>
      </c>
      <c r="CX55" s="22">
        <f t="shared" si="478"/>
        <v>12</v>
      </c>
      <c r="CY55" s="22">
        <f t="shared" ref="CY55" si="585">$G55*CW55</f>
        <v>0</v>
      </c>
      <c r="CZ55" s="22">
        <v>1</v>
      </c>
      <c r="DA55" s="22">
        <f t="shared" si="480"/>
        <v>6</v>
      </c>
      <c r="DB55" s="22">
        <f t="shared" ref="DB55" si="586">$G55*CZ55</f>
        <v>0</v>
      </c>
      <c r="DC55" s="22"/>
      <c r="DD55" s="22">
        <f t="shared" si="482"/>
        <v>0</v>
      </c>
      <c r="DE55" s="22">
        <f t="shared" ref="DE55" si="587">$G55*DC55</f>
        <v>0</v>
      </c>
      <c r="DF55" s="22"/>
      <c r="DG55" s="22">
        <f t="shared" si="484"/>
        <v>0</v>
      </c>
      <c r="DH55" s="22">
        <f t="shared" ref="DH55" si="588">$G55*DF55</f>
        <v>0</v>
      </c>
      <c r="DI55" s="22"/>
      <c r="DJ55" s="22">
        <f t="shared" si="486"/>
        <v>0</v>
      </c>
      <c r="DK55" s="22">
        <f t="shared" ref="DK55" si="589">$G55*DI55</f>
        <v>0</v>
      </c>
      <c r="DL55" s="22"/>
      <c r="DM55" s="22">
        <f t="shared" si="488"/>
        <v>0</v>
      </c>
      <c r="DN55" s="22">
        <f t="shared" ref="DN55" si="590">$G55*DL55</f>
        <v>0</v>
      </c>
      <c r="DO55" s="22"/>
      <c r="DP55" s="22">
        <f t="shared" si="490"/>
        <v>0</v>
      </c>
      <c r="DQ55" s="22">
        <f t="shared" ref="DQ55" si="591">$G55*DO55</f>
        <v>0</v>
      </c>
      <c r="DR55" s="22"/>
      <c r="DS55" s="22">
        <f t="shared" si="492"/>
        <v>0</v>
      </c>
      <c r="DT55" s="22">
        <f t="shared" ref="DT55" si="592">$G55*DR55</f>
        <v>0</v>
      </c>
      <c r="DU55" s="22"/>
      <c r="DV55" s="22">
        <f t="shared" si="494"/>
        <v>0</v>
      </c>
      <c r="DW55" s="22">
        <f t="shared" ref="DW55" si="593">$G55*DU55</f>
        <v>0</v>
      </c>
      <c r="DX55" s="22"/>
      <c r="DY55" s="22">
        <f t="shared" si="496"/>
        <v>0</v>
      </c>
      <c r="DZ55" s="22">
        <f t="shared" ref="DZ55" si="594">$G55*DX55</f>
        <v>0</v>
      </c>
      <c r="EA55" s="22"/>
      <c r="EB55" s="22">
        <f t="shared" si="498"/>
        <v>0</v>
      </c>
      <c r="EC55" s="22">
        <f t="shared" ref="EC55" si="595">$G55*EA55</f>
        <v>0</v>
      </c>
      <c r="ED55" s="22"/>
      <c r="EE55" s="22">
        <f t="shared" si="500"/>
        <v>0</v>
      </c>
      <c r="EF55" s="22">
        <f t="shared" ref="EF55" si="596">$G55*ED55</f>
        <v>0</v>
      </c>
      <c r="EG55" s="22"/>
      <c r="EH55" s="22">
        <f t="shared" si="502"/>
        <v>0</v>
      </c>
      <c r="EI55" s="22">
        <f t="shared" ref="EI55" si="597">$G55*EG55</f>
        <v>0</v>
      </c>
      <c r="EJ55" s="22"/>
      <c r="EK55" s="22">
        <f t="shared" si="504"/>
        <v>0</v>
      </c>
      <c r="EL55" s="22">
        <f t="shared" ref="EL55" si="598">$G55*EJ55</f>
        <v>0</v>
      </c>
      <c r="EM55" s="22"/>
      <c r="EN55" s="22">
        <f t="shared" si="506"/>
        <v>0</v>
      </c>
      <c r="EO55" s="22">
        <f t="shared" ref="EO55" si="599">$G55*EM55</f>
        <v>0</v>
      </c>
    </row>
    <row r="56" spans="1:145">
      <c r="A56" s="15"/>
      <c r="B56" s="15"/>
      <c r="C56" s="15"/>
      <c r="D56" s="15"/>
      <c r="E56" s="23"/>
      <c r="F56" s="15"/>
      <c r="G56" s="26"/>
      <c r="H56" s="21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</row>
    <row r="57" spans="1:145">
      <c r="A57" s="27"/>
      <c r="B57" s="27"/>
      <c r="C57" s="27"/>
      <c r="D57" s="27"/>
      <c r="E57" s="27"/>
      <c r="F57" s="27"/>
      <c r="G57" s="27"/>
      <c r="H57" s="28"/>
      <c r="I57" s="29"/>
      <c r="J57" s="30">
        <f>SUM(J5:J56)</f>
        <v>0</v>
      </c>
      <c r="K57" s="30"/>
      <c r="L57" s="30"/>
      <c r="M57" s="30">
        <f>SUM(M5:M56)</f>
        <v>0</v>
      </c>
      <c r="N57" s="30"/>
      <c r="O57" s="30"/>
      <c r="P57" s="30">
        <f>SUM(P5:P56)</f>
        <v>0</v>
      </c>
      <c r="Q57" s="30"/>
      <c r="R57" s="30"/>
      <c r="S57" s="30">
        <f>SUM(S5:S56)</f>
        <v>0</v>
      </c>
      <c r="T57" s="30"/>
      <c r="U57" s="30"/>
      <c r="V57" s="30">
        <f>SUM(V5:V56)</f>
        <v>0</v>
      </c>
      <c r="W57" s="30"/>
      <c r="X57" s="30"/>
      <c r="Y57" s="30">
        <f>SUM(Y5:Y56)</f>
        <v>0</v>
      </c>
      <c r="Z57" s="30"/>
      <c r="AA57" s="30"/>
      <c r="AB57" s="30">
        <f>SUM(AB5:AB56)</f>
        <v>0</v>
      </c>
      <c r="AC57" s="30"/>
      <c r="AD57" s="30"/>
      <c r="AE57" s="30">
        <f>SUM(AE5:AE56)</f>
        <v>0</v>
      </c>
      <c r="AF57" s="30"/>
      <c r="AG57" s="30"/>
      <c r="AH57" s="30">
        <f>SUM(AH5:AH56)</f>
        <v>0</v>
      </c>
      <c r="AI57" s="30"/>
      <c r="AJ57" s="30"/>
      <c r="AK57" s="30">
        <f>SUM(AK5:AK56)</f>
        <v>0</v>
      </c>
      <c r="AL57" s="30"/>
      <c r="AM57" s="30"/>
      <c r="AN57" s="30">
        <f>SUM(AN5:AN56)</f>
        <v>0</v>
      </c>
      <c r="AO57" s="30"/>
      <c r="AP57" s="30"/>
      <c r="AQ57" s="30">
        <f>SUM(AQ5:AQ56)</f>
        <v>0</v>
      </c>
      <c r="AR57" s="30"/>
      <c r="AS57" s="30"/>
      <c r="AT57" s="30">
        <f>SUM(AT5:AT56)</f>
        <v>0</v>
      </c>
      <c r="AU57" s="30"/>
      <c r="AV57" s="30"/>
      <c r="AW57" s="30">
        <f>SUM(AW5:AW56)</f>
        <v>0</v>
      </c>
      <c r="AX57" s="30"/>
      <c r="AY57" s="30"/>
      <c r="AZ57" s="30">
        <f>SUM(AZ5:AZ56)</f>
        <v>0</v>
      </c>
      <c r="BA57" s="30"/>
      <c r="BB57" s="30"/>
      <c r="BC57" s="30">
        <f>SUM(BC5:BC56)</f>
        <v>0</v>
      </c>
      <c r="BD57" s="30"/>
      <c r="BE57" s="30"/>
      <c r="BF57" s="30">
        <f>SUM(BF5:BF56)</f>
        <v>0</v>
      </c>
      <c r="BG57" s="30"/>
      <c r="BH57" s="30"/>
      <c r="BI57" s="30">
        <f>SUM(BI5:BI56)</f>
        <v>0</v>
      </c>
      <c r="BJ57" s="30"/>
      <c r="BK57" s="30"/>
      <c r="BL57" s="30">
        <f>SUM(BL5:BL56)</f>
        <v>0</v>
      </c>
      <c r="BM57" s="30"/>
      <c r="BN57" s="30"/>
      <c r="BO57" s="30">
        <f>SUM(BO5:BO56)</f>
        <v>0</v>
      </c>
      <c r="BP57" s="30"/>
      <c r="BQ57" s="30"/>
      <c r="BR57" s="30">
        <f>SUM(BR5:BR56)</f>
        <v>0</v>
      </c>
      <c r="BS57" s="30"/>
      <c r="BT57" s="30"/>
      <c r="BU57" s="30">
        <f>SUM(BU5:BU56)</f>
        <v>0</v>
      </c>
      <c r="BV57" s="30"/>
      <c r="BW57" s="30"/>
      <c r="BX57" s="30">
        <f>SUM(BX5:BX56)</f>
        <v>0</v>
      </c>
      <c r="BY57" s="30"/>
      <c r="BZ57" s="30"/>
      <c r="CA57" s="30">
        <f>SUM(CA5:CA56)</f>
        <v>0</v>
      </c>
      <c r="CB57" s="30"/>
      <c r="CC57" s="30"/>
      <c r="CD57" s="30">
        <f>SUM(CD5:CD56)</f>
        <v>0</v>
      </c>
      <c r="CE57" s="30"/>
      <c r="CF57" s="30"/>
      <c r="CG57" s="30">
        <f>SUM(CG5:CG56)</f>
        <v>0</v>
      </c>
      <c r="CH57" s="30"/>
      <c r="CI57" s="30"/>
      <c r="CJ57" s="30">
        <f>SUM(CJ5:CJ56)</f>
        <v>0</v>
      </c>
      <c r="CK57" s="30"/>
      <c r="CL57" s="30"/>
      <c r="CM57" s="30">
        <f>SUM(CM5:CM56)</f>
        <v>0</v>
      </c>
      <c r="CN57" s="30"/>
      <c r="CO57" s="30"/>
      <c r="CP57" s="30">
        <f>SUM(CP5:CP56)</f>
        <v>0</v>
      </c>
      <c r="CQ57" s="30"/>
      <c r="CR57" s="30"/>
      <c r="CS57" s="30">
        <f>SUM(CS5:CS56)</f>
        <v>0</v>
      </c>
      <c r="CT57" s="30"/>
      <c r="CU57" s="30"/>
      <c r="CV57" s="30">
        <f>SUM(CV5:CV56)</f>
        <v>0</v>
      </c>
      <c r="CW57" s="30"/>
      <c r="CX57" s="30"/>
      <c r="CY57" s="30">
        <f>SUM(CY5:CY56)</f>
        <v>0</v>
      </c>
      <c r="CZ57" s="30"/>
      <c r="DA57" s="30"/>
      <c r="DB57" s="30">
        <f>SUM(DB5:DB56)</f>
        <v>0</v>
      </c>
      <c r="DC57" s="30"/>
      <c r="DD57" s="30"/>
      <c r="DE57" s="30">
        <f>SUM(DE5:DE56)</f>
        <v>0</v>
      </c>
      <c r="DF57" s="30"/>
      <c r="DG57" s="30"/>
      <c r="DH57" s="30">
        <f>SUM(DH5:DH56)</f>
        <v>0</v>
      </c>
      <c r="DI57" s="30"/>
      <c r="DJ57" s="30"/>
      <c r="DK57" s="30">
        <f>SUM(DK5:DK56)</f>
        <v>0</v>
      </c>
      <c r="DL57" s="30"/>
      <c r="DM57" s="30"/>
      <c r="DN57" s="30">
        <f>SUM(DN5:DN56)</f>
        <v>0</v>
      </c>
      <c r="DO57" s="30"/>
      <c r="DP57" s="30"/>
      <c r="DQ57" s="30">
        <f>SUM(DQ5:DQ56)</f>
        <v>0</v>
      </c>
      <c r="DR57" s="30"/>
      <c r="DS57" s="30"/>
      <c r="DT57" s="30">
        <f>SUM(DT5:DT56)</f>
        <v>0</v>
      </c>
      <c r="DU57" s="30"/>
      <c r="DV57" s="30"/>
      <c r="DW57" s="30">
        <f>SUM(DW5:DW56)</f>
        <v>0</v>
      </c>
      <c r="DX57" s="30"/>
      <c r="DY57" s="30"/>
      <c r="DZ57" s="30">
        <f>SUM(DZ5:DZ56)</f>
        <v>0</v>
      </c>
      <c r="EA57" s="30"/>
      <c r="EB57" s="30"/>
      <c r="EC57" s="30">
        <f>SUM(EC5:EC56)</f>
        <v>0</v>
      </c>
      <c r="ED57" s="30"/>
      <c r="EE57" s="30"/>
      <c r="EF57" s="30">
        <f>SUM(EF5:EF56)</f>
        <v>0</v>
      </c>
      <c r="EG57" s="30"/>
      <c r="EH57" s="30"/>
      <c r="EI57" s="30">
        <f>SUM(EI5:EI56)</f>
        <v>0</v>
      </c>
      <c r="EJ57" s="30"/>
      <c r="EK57" s="30"/>
      <c r="EL57" s="30">
        <f>SUM(EL5:EL56)</f>
        <v>0</v>
      </c>
      <c r="EM57" s="30"/>
      <c r="EN57" s="30"/>
      <c r="EO57" s="30">
        <f>SUM(EO5:EO56)</f>
        <v>0</v>
      </c>
    </row>
    <row r="58" spans="1:145">
      <c r="A58" s="15"/>
      <c r="B58" s="15"/>
      <c r="C58" s="15"/>
      <c r="D58" s="15"/>
      <c r="E58" s="15"/>
      <c r="F58" s="15"/>
      <c r="G58" s="15"/>
    </row>
    <row r="59" spans="1:145" ht="15.75">
      <c r="A59" s="61" t="s">
        <v>487</v>
      </c>
      <c r="B59" s="61"/>
      <c r="C59" s="61"/>
      <c r="D59" s="61"/>
      <c r="E59" s="61"/>
      <c r="F59" s="61"/>
      <c r="G59" s="61"/>
    </row>
    <row r="60" spans="1:145">
      <c r="A60" s="31" t="s">
        <v>488</v>
      </c>
      <c r="B60" s="31" t="s">
        <v>489</v>
      </c>
      <c r="C60" s="31" t="s">
        <v>490</v>
      </c>
      <c r="D60" s="31"/>
      <c r="E60" s="31" t="s">
        <v>491</v>
      </c>
      <c r="F60" s="31" t="s">
        <v>492</v>
      </c>
      <c r="G60" s="31" t="s">
        <v>493</v>
      </c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</row>
    <row r="61" spans="1:145">
      <c r="A61" s="16" t="s">
        <v>425</v>
      </c>
      <c r="B61" s="15"/>
      <c r="C61" s="17"/>
      <c r="D61" s="33"/>
      <c r="E61" s="26">
        <f>J57</f>
        <v>0</v>
      </c>
      <c r="F61" s="26">
        <f t="shared" ref="F61:F106" si="600">B61*E61</f>
        <v>0</v>
      </c>
      <c r="G61" s="15"/>
    </row>
    <row r="62" spans="1:145">
      <c r="A62" s="16" t="s">
        <v>425</v>
      </c>
      <c r="B62" s="15"/>
      <c r="C62" s="51"/>
      <c r="D62" s="33"/>
      <c r="E62" s="19">
        <f>M57</f>
        <v>0</v>
      </c>
      <c r="F62" s="26">
        <f t="shared" si="600"/>
        <v>0</v>
      </c>
      <c r="G62" s="15"/>
    </row>
    <row r="63" spans="1:145">
      <c r="A63" s="16" t="s">
        <v>425</v>
      </c>
      <c r="B63" s="15"/>
      <c r="C63" s="17"/>
      <c r="D63" s="33"/>
      <c r="E63" s="19">
        <f>P57</f>
        <v>0</v>
      </c>
      <c r="F63" s="26">
        <f t="shared" si="600"/>
        <v>0</v>
      </c>
      <c r="G63" s="15"/>
    </row>
    <row r="64" spans="1:145">
      <c r="A64" s="16" t="s">
        <v>425</v>
      </c>
      <c r="B64" s="15"/>
      <c r="C64" s="17"/>
      <c r="D64" s="33"/>
      <c r="E64" s="19">
        <f>S57</f>
        <v>0</v>
      </c>
      <c r="F64" s="26">
        <f t="shared" si="600"/>
        <v>0</v>
      </c>
      <c r="G64" s="15"/>
    </row>
    <row r="65" spans="1:7">
      <c r="A65" s="16" t="s">
        <v>425</v>
      </c>
      <c r="B65" s="15"/>
      <c r="C65" s="17"/>
      <c r="D65" s="33"/>
      <c r="E65" s="19">
        <f>V57</f>
        <v>0</v>
      </c>
      <c r="F65" s="26">
        <f t="shared" si="600"/>
        <v>0</v>
      </c>
      <c r="G65" s="15"/>
    </row>
    <row r="66" spans="1:7">
      <c r="A66" s="37" t="s">
        <v>425</v>
      </c>
      <c r="B66" s="15"/>
      <c r="C66" s="33"/>
      <c r="D66" s="33"/>
      <c r="E66" s="19">
        <f>Y57</f>
        <v>0</v>
      </c>
      <c r="F66" s="26">
        <f t="shared" si="600"/>
        <v>0</v>
      </c>
      <c r="G66" s="35"/>
    </row>
    <row r="67" spans="1:7">
      <c r="A67" s="37" t="s">
        <v>425</v>
      </c>
      <c r="B67" s="15"/>
      <c r="C67" s="33"/>
      <c r="D67" s="33"/>
      <c r="E67" s="19">
        <f>AB57</f>
        <v>0</v>
      </c>
      <c r="F67" s="26">
        <f t="shared" si="600"/>
        <v>0</v>
      </c>
      <c r="G67" s="35"/>
    </row>
    <row r="68" spans="1:7">
      <c r="A68" s="37" t="s">
        <v>425</v>
      </c>
      <c r="B68" s="15"/>
      <c r="C68" s="16"/>
      <c r="D68" s="33"/>
      <c r="E68" s="26">
        <f>AE57</f>
        <v>0</v>
      </c>
      <c r="F68" s="26">
        <f t="shared" si="600"/>
        <v>0</v>
      </c>
      <c r="G68" s="35"/>
    </row>
    <row r="69" spans="1:7">
      <c r="A69" s="37" t="s">
        <v>425</v>
      </c>
      <c r="B69" s="15"/>
      <c r="C69" s="33"/>
      <c r="D69" s="33"/>
      <c r="E69" s="19">
        <f>AH57</f>
        <v>0</v>
      </c>
      <c r="F69" s="26">
        <f t="shared" si="600"/>
        <v>0</v>
      </c>
      <c r="G69" s="35"/>
    </row>
    <row r="70" spans="1:7">
      <c r="A70" s="37" t="s">
        <v>425</v>
      </c>
      <c r="B70" s="15"/>
      <c r="C70" s="33"/>
      <c r="D70" s="33"/>
      <c r="E70" s="19">
        <f>AK57</f>
        <v>0</v>
      </c>
      <c r="F70" s="26">
        <f t="shared" si="600"/>
        <v>0</v>
      </c>
      <c r="G70" s="35"/>
    </row>
    <row r="71" spans="1:7">
      <c r="A71" s="34">
        <v>12</v>
      </c>
      <c r="B71" s="15">
        <v>1</v>
      </c>
      <c r="C71" s="33" t="s">
        <v>494</v>
      </c>
      <c r="D71" s="33" t="s">
        <v>495</v>
      </c>
      <c r="E71" s="36">
        <f>AN57</f>
        <v>0</v>
      </c>
      <c r="F71" s="26">
        <f t="shared" si="600"/>
        <v>0</v>
      </c>
      <c r="G71" s="35"/>
    </row>
    <row r="72" spans="1:7">
      <c r="A72" s="34">
        <v>13</v>
      </c>
      <c r="B72" s="15">
        <v>2</v>
      </c>
      <c r="C72" s="33" t="s">
        <v>496</v>
      </c>
      <c r="D72" s="26" t="s">
        <v>495</v>
      </c>
      <c r="E72" s="36">
        <f>AQ57</f>
        <v>0</v>
      </c>
      <c r="F72" s="26">
        <f t="shared" si="600"/>
        <v>0</v>
      </c>
      <c r="G72" s="35"/>
    </row>
    <row r="73" spans="1:7">
      <c r="A73" s="34">
        <v>14</v>
      </c>
      <c r="B73" s="15">
        <v>7</v>
      </c>
      <c r="C73" s="26" t="s">
        <v>497</v>
      </c>
      <c r="D73" s="26" t="s">
        <v>495</v>
      </c>
      <c r="E73" s="36">
        <f>AT57</f>
        <v>0</v>
      </c>
      <c r="F73" s="26">
        <f t="shared" si="600"/>
        <v>0</v>
      </c>
      <c r="G73" s="35"/>
    </row>
    <row r="74" spans="1:7">
      <c r="A74" s="34">
        <v>15</v>
      </c>
      <c r="B74" s="15">
        <v>1</v>
      </c>
      <c r="C74" s="33" t="s">
        <v>498</v>
      </c>
      <c r="D74" s="26" t="s">
        <v>495</v>
      </c>
      <c r="E74" s="36">
        <f>AW57</f>
        <v>0</v>
      </c>
      <c r="F74" s="26">
        <f t="shared" si="600"/>
        <v>0</v>
      </c>
      <c r="G74" s="35"/>
    </row>
    <row r="75" spans="1:7">
      <c r="A75" s="37" t="s">
        <v>425</v>
      </c>
      <c r="B75" s="15"/>
      <c r="C75" s="33"/>
      <c r="D75" s="26"/>
      <c r="E75" s="36">
        <f>AZ57</f>
        <v>0</v>
      </c>
      <c r="F75" s="26">
        <f t="shared" si="600"/>
        <v>0</v>
      </c>
      <c r="G75" s="35"/>
    </row>
    <row r="76" spans="1:7">
      <c r="A76" s="37" t="s">
        <v>425</v>
      </c>
      <c r="B76" s="15"/>
      <c r="C76" s="26"/>
      <c r="D76" s="26"/>
      <c r="E76" s="36">
        <f>BC57</f>
        <v>0</v>
      </c>
      <c r="F76" s="26">
        <f t="shared" si="600"/>
        <v>0</v>
      </c>
      <c r="G76" s="35"/>
    </row>
    <row r="77" spans="1:7">
      <c r="A77" s="34">
        <v>18</v>
      </c>
      <c r="B77" s="15">
        <v>1</v>
      </c>
      <c r="C77" s="33" t="s">
        <v>499</v>
      </c>
      <c r="D77" s="26" t="s">
        <v>495</v>
      </c>
      <c r="E77" s="36">
        <f>BF57</f>
        <v>0</v>
      </c>
      <c r="F77" s="26">
        <f t="shared" si="600"/>
        <v>0</v>
      </c>
      <c r="G77" s="35"/>
    </row>
    <row r="78" spans="1:7">
      <c r="A78" s="34">
        <v>19</v>
      </c>
      <c r="B78" s="15">
        <v>1</v>
      </c>
      <c r="C78" s="33" t="s">
        <v>500</v>
      </c>
      <c r="D78" s="26" t="s">
        <v>495</v>
      </c>
      <c r="E78" s="36">
        <f>BI57</f>
        <v>0</v>
      </c>
      <c r="F78" s="26">
        <f t="shared" si="600"/>
        <v>0</v>
      </c>
      <c r="G78" s="35"/>
    </row>
    <row r="79" spans="1:7">
      <c r="A79" s="37" t="s">
        <v>425</v>
      </c>
      <c r="B79" s="15"/>
      <c r="C79" s="26"/>
      <c r="D79" s="26"/>
      <c r="E79" s="36">
        <f>BL57</f>
        <v>0</v>
      </c>
      <c r="F79" s="26">
        <f t="shared" si="600"/>
        <v>0</v>
      </c>
      <c r="G79" s="35"/>
    </row>
    <row r="80" spans="1:7">
      <c r="A80" s="34">
        <v>21</v>
      </c>
      <c r="B80" s="15">
        <v>2</v>
      </c>
      <c r="C80" s="26" t="s">
        <v>501</v>
      </c>
      <c r="D80" s="16" t="s">
        <v>495</v>
      </c>
      <c r="E80" s="36">
        <f>BO57</f>
        <v>0</v>
      </c>
      <c r="F80" s="26">
        <f t="shared" si="600"/>
        <v>0</v>
      </c>
      <c r="G80" s="35"/>
    </row>
    <row r="81" spans="1:7">
      <c r="A81" s="34">
        <v>22</v>
      </c>
      <c r="B81" s="15">
        <v>1</v>
      </c>
      <c r="C81" s="26" t="s">
        <v>502</v>
      </c>
      <c r="D81" s="16" t="s">
        <v>495</v>
      </c>
      <c r="E81" s="36">
        <f>BR57</f>
        <v>0</v>
      </c>
      <c r="F81" s="26">
        <f t="shared" si="600"/>
        <v>0</v>
      </c>
      <c r="G81" s="35"/>
    </row>
    <row r="82" spans="1:7">
      <c r="A82" s="34">
        <v>23</v>
      </c>
      <c r="B82" s="15">
        <v>1</v>
      </c>
      <c r="C82" s="26" t="s">
        <v>502</v>
      </c>
      <c r="D82" s="16" t="s">
        <v>495</v>
      </c>
      <c r="E82" s="36">
        <f>BU57</f>
        <v>0</v>
      </c>
      <c r="F82" s="26">
        <f t="shared" si="600"/>
        <v>0</v>
      </c>
      <c r="G82" s="35"/>
    </row>
    <row r="83" spans="1:7">
      <c r="A83" s="37" t="s">
        <v>425</v>
      </c>
      <c r="B83" s="15"/>
      <c r="C83" s="16"/>
      <c r="D83" s="16"/>
      <c r="E83" s="36">
        <f>BX57</f>
        <v>0</v>
      </c>
      <c r="F83" s="26">
        <f t="shared" si="600"/>
        <v>0</v>
      </c>
      <c r="G83" s="35"/>
    </row>
    <row r="84" spans="1:7">
      <c r="A84" s="34">
        <v>24</v>
      </c>
      <c r="B84" s="15">
        <v>12</v>
      </c>
      <c r="C84" s="16" t="s">
        <v>501</v>
      </c>
      <c r="D84" s="16" t="s">
        <v>495</v>
      </c>
      <c r="E84" s="36">
        <f>CA57</f>
        <v>0</v>
      </c>
      <c r="F84" s="26">
        <f t="shared" si="600"/>
        <v>0</v>
      </c>
      <c r="G84" s="35"/>
    </row>
    <row r="85" spans="1:7">
      <c r="A85" s="34">
        <v>25</v>
      </c>
      <c r="B85" s="15">
        <v>31</v>
      </c>
      <c r="C85" s="33" t="s">
        <v>503</v>
      </c>
      <c r="D85" s="16" t="s">
        <v>495</v>
      </c>
      <c r="E85" s="36">
        <f>CD57</f>
        <v>0</v>
      </c>
      <c r="F85" s="26">
        <f t="shared" si="600"/>
        <v>0</v>
      </c>
      <c r="G85" s="35"/>
    </row>
    <row r="86" spans="1:7">
      <c r="A86" s="34">
        <v>26</v>
      </c>
      <c r="B86" s="15">
        <v>1</v>
      </c>
      <c r="C86" s="33" t="s">
        <v>504</v>
      </c>
      <c r="D86" s="16" t="s">
        <v>495</v>
      </c>
      <c r="E86" s="36">
        <f>CG57</f>
        <v>0</v>
      </c>
      <c r="F86" s="26">
        <f t="shared" si="600"/>
        <v>0</v>
      </c>
      <c r="G86" s="35"/>
    </row>
    <row r="87" spans="1:7">
      <c r="A87" s="34">
        <v>27</v>
      </c>
      <c r="B87" s="15">
        <v>1</v>
      </c>
      <c r="C87" s="33" t="s">
        <v>59</v>
      </c>
      <c r="D87" s="16" t="s">
        <v>495</v>
      </c>
      <c r="E87" s="36">
        <f>CJ57</f>
        <v>0</v>
      </c>
      <c r="F87" s="26">
        <f t="shared" si="600"/>
        <v>0</v>
      </c>
      <c r="G87" s="35"/>
    </row>
    <row r="88" spans="1:7">
      <c r="A88" s="34">
        <v>28</v>
      </c>
      <c r="B88" s="15">
        <v>2</v>
      </c>
      <c r="C88" s="33" t="s">
        <v>501</v>
      </c>
      <c r="D88" s="16" t="s">
        <v>495</v>
      </c>
      <c r="E88" s="36">
        <f>CM57</f>
        <v>0</v>
      </c>
      <c r="F88" s="26">
        <f t="shared" si="600"/>
        <v>0</v>
      </c>
      <c r="G88" s="35"/>
    </row>
    <row r="89" spans="1:7">
      <c r="A89" s="34">
        <v>29</v>
      </c>
      <c r="B89" s="15">
        <v>2</v>
      </c>
      <c r="C89" s="33" t="s">
        <v>503</v>
      </c>
      <c r="D89" s="16" t="s">
        <v>495</v>
      </c>
      <c r="E89" s="36">
        <f>CP57</f>
        <v>0</v>
      </c>
      <c r="F89" s="26">
        <f t="shared" si="600"/>
        <v>0</v>
      </c>
      <c r="G89" s="35"/>
    </row>
    <row r="90" spans="1:7">
      <c r="A90" s="34">
        <v>30</v>
      </c>
      <c r="B90" s="15">
        <v>3</v>
      </c>
      <c r="C90" s="33" t="s">
        <v>503</v>
      </c>
      <c r="D90" s="16" t="s">
        <v>495</v>
      </c>
      <c r="E90" s="36">
        <f>CS57</f>
        <v>0</v>
      </c>
      <c r="F90" s="26">
        <f t="shared" si="600"/>
        <v>0</v>
      </c>
      <c r="G90" s="35"/>
    </row>
    <row r="91" spans="1:7">
      <c r="A91" s="34">
        <v>31</v>
      </c>
      <c r="B91" s="15">
        <v>1</v>
      </c>
      <c r="C91" s="33" t="s">
        <v>505</v>
      </c>
      <c r="D91" s="16" t="s">
        <v>495</v>
      </c>
      <c r="E91" s="36">
        <f>CV57</f>
        <v>0</v>
      </c>
      <c r="F91" s="26">
        <f t="shared" si="600"/>
        <v>0</v>
      </c>
      <c r="G91" s="35"/>
    </row>
    <row r="92" spans="1:7">
      <c r="A92" s="34">
        <v>32</v>
      </c>
      <c r="B92" s="15">
        <v>12</v>
      </c>
      <c r="C92" s="33" t="s">
        <v>502</v>
      </c>
      <c r="D92" s="16" t="s">
        <v>495</v>
      </c>
      <c r="E92" s="36">
        <f>CY57</f>
        <v>0</v>
      </c>
      <c r="F92" s="26">
        <f t="shared" si="600"/>
        <v>0</v>
      </c>
      <c r="G92" s="35"/>
    </row>
    <row r="93" spans="1:7">
      <c r="A93" s="34">
        <v>33</v>
      </c>
      <c r="B93" s="15">
        <v>6</v>
      </c>
      <c r="C93" s="16" t="s">
        <v>502</v>
      </c>
      <c r="D93" s="16" t="s">
        <v>495</v>
      </c>
      <c r="E93" s="36">
        <f>DB57</f>
        <v>0</v>
      </c>
      <c r="F93" s="26">
        <f t="shared" si="600"/>
        <v>0</v>
      </c>
      <c r="G93" s="35"/>
    </row>
    <row r="94" spans="1:7">
      <c r="A94" s="34">
        <v>34</v>
      </c>
      <c r="B94" s="15">
        <v>6</v>
      </c>
      <c r="C94" s="16" t="s">
        <v>501</v>
      </c>
      <c r="D94" s="16" t="s">
        <v>495</v>
      </c>
      <c r="E94" s="36">
        <f>DE57</f>
        <v>0</v>
      </c>
      <c r="F94" s="26">
        <f t="shared" si="600"/>
        <v>0</v>
      </c>
      <c r="G94" s="35"/>
    </row>
    <row r="95" spans="1:7">
      <c r="A95" s="37" t="s">
        <v>425</v>
      </c>
      <c r="B95" s="15"/>
      <c r="C95" s="16"/>
      <c r="D95" s="16"/>
      <c r="E95" s="36">
        <f>DH57</f>
        <v>0</v>
      </c>
      <c r="F95" s="26">
        <f t="shared" si="600"/>
        <v>0</v>
      </c>
      <c r="G95" s="35"/>
    </row>
    <row r="96" spans="1:7">
      <c r="A96" s="34">
        <v>36</v>
      </c>
      <c r="B96" s="15">
        <v>1</v>
      </c>
      <c r="C96" s="26" t="s">
        <v>145</v>
      </c>
      <c r="D96" s="16" t="s">
        <v>495</v>
      </c>
      <c r="E96" s="36">
        <f>DK57</f>
        <v>0</v>
      </c>
      <c r="F96" s="26">
        <f t="shared" si="600"/>
        <v>0</v>
      </c>
      <c r="G96" s="35"/>
    </row>
    <row r="97" spans="1:147">
      <c r="A97" s="34">
        <v>37</v>
      </c>
      <c r="B97" s="15">
        <v>2</v>
      </c>
      <c r="C97" s="26" t="s">
        <v>502</v>
      </c>
      <c r="D97" s="16" t="s">
        <v>495</v>
      </c>
      <c r="E97" s="36">
        <f>DN57</f>
        <v>0</v>
      </c>
      <c r="F97" s="26">
        <f t="shared" si="600"/>
        <v>0</v>
      </c>
      <c r="G97" s="35"/>
    </row>
    <row r="98" spans="1:147">
      <c r="A98" s="34">
        <v>38</v>
      </c>
      <c r="B98" s="15">
        <v>3</v>
      </c>
      <c r="C98" s="16" t="s">
        <v>502</v>
      </c>
      <c r="D98" s="16" t="s">
        <v>495</v>
      </c>
      <c r="E98" s="36">
        <f>DQ57</f>
        <v>0</v>
      </c>
      <c r="F98" s="26">
        <f t="shared" si="600"/>
        <v>0</v>
      </c>
      <c r="G98" s="35"/>
    </row>
    <row r="99" spans="1:147">
      <c r="A99" s="34">
        <v>39</v>
      </c>
      <c r="B99" s="15">
        <v>1</v>
      </c>
      <c r="C99" s="16" t="s">
        <v>502</v>
      </c>
      <c r="D99" s="16" t="s">
        <v>495</v>
      </c>
      <c r="E99" s="36">
        <f>DT57</f>
        <v>0</v>
      </c>
      <c r="F99" s="26">
        <f t="shared" si="600"/>
        <v>0</v>
      </c>
      <c r="G99" s="35"/>
    </row>
    <row r="100" spans="1:147">
      <c r="A100" s="37" t="s">
        <v>425</v>
      </c>
      <c r="B100" s="15"/>
      <c r="C100" s="16"/>
      <c r="D100" s="16"/>
      <c r="E100" s="36">
        <f>DW57</f>
        <v>0</v>
      </c>
      <c r="F100" s="26">
        <f t="shared" si="600"/>
        <v>0</v>
      </c>
      <c r="G100" s="35"/>
    </row>
    <row r="101" spans="1:147" s="12" customFormat="1">
      <c r="A101" s="37" t="s">
        <v>425</v>
      </c>
      <c r="B101" s="15"/>
      <c r="C101" s="16"/>
      <c r="D101" s="16"/>
      <c r="E101" s="36">
        <f>DZ57</f>
        <v>0</v>
      </c>
      <c r="F101" s="26">
        <f t="shared" si="600"/>
        <v>0</v>
      </c>
      <c r="G101" s="35"/>
      <c r="EP101" s="10"/>
      <c r="EQ101" s="10"/>
    </row>
    <row r="102" spans="1:147" s="12" customFormat="1">
      <c r="A102" s="37" t="s">
        <v>425</v>
      </c>
      <c r="B102" s="15"/>
      <c r="C102" s="16"/>
      <c r="D102" s="16"/>
      <c r="E102" s="36">
        <f>EC57</f>
        <v>0</v>
      </c>
      <c r="F102" s="26">
        <f t="shared" si="600"/>
        <v>0</v>
      </c>
      <c r="G102" s="35"/>
      <c r="EP102" s="10"/>
      <c r="EQ102" s="10"/>
    </row>
    <row r="103" spans="1:147" s="12" customFormat="1">
      <c r="A103" s="37" t="s">
        <v>425</v>
      </c>
      <c r="B103" s="15"/>
      <c r="C103" s="16"/>
      <c r="D103" s="16"/>
      <c r="E103" s="36">
        <f>EF57</f>
        <v>0</v>
      </c>
      <c r="F103" s="26">
        <f t="shared" si="600"/>
        <v>0</v>
      </c>
      <c r="G103" s="35"/>
      <c r="EP103" s="10"/>
      <c r="EQ103" s="10"/>
    </row>
    <row r="104" spans="1:147" s="12" customFormat="1">
      <c r="A104" s="34">
        <v>44</v>
      </c>
      <c r="B104" s="15">
        <v>1</v>
      </c>
      <c r="C104" s="16" t="s">
        <v>506</v>
      </c>
      <c r="D104" s="16" t="s">
        <v>495</v>
      </c>
      <c r="E104" s="36">
        <f>EI57</f>
        <v>0</v>
      </c>
      <c r="F104" s="26">
        <f t="shared" si="600"/>
        <v>0</v>
      </c>
      <c r="G104" s="35"/>
      <c r="EP104" s="10"/>
      <c r="EQ104" s="10"/>
    </row>
    <row r="105" spans="1:147" s="12" customFormat="1">
      <c r="A105" s="34"/>
      <c r="B105" s="15"/>
      <c r="C105" s="15"/>
      <c r="D105" s="15"/>
      <c r="E105" s="36">
        <f>EL57</f>
        <v>0</v>
      </c>
      <c r="F105" s="26">
        <f t="shared" si="600"/>
        <v>0</v>
      </c>
      <c r="G105" s="35"/>
      <c r="EP105" s="10"/>
      <c r="EQ105" s="10"/>
    </row>
    <row r="106" spans="1:147" s="12" customFormat="1">
      <c r="A106" s="34"/>
      <c r="B106" s="15"/>
      <c r="C106" s="15"/>
      <c r="D106" s="15"/>
      <c r="E106" s="36">
        <f>EO57</f>
        <v>0</v>
      </c>
      <c r="F106" s="26">
        <f t="shared" si="600"/>
        <v>0</v>
      </c>
      <c r="G106" s="35"/>
      <c r="EP106" s="10"/>
      <c r="EQ106" s="10"/>
    </row>
    <row r="107" spans="1:147" s="12" customFormat="1" ht="19.5" thickBot="1">
      <c r="A107" s="38"/>
      <c r="B107" s="39"/>
      <c r="C107" s="39" t="s">
        <v>507</v>
      </c>
      <c r="D107" s="39"/>
      <c r="E107" s="39"/>
      <c r="F107" s="40">
        <f>SUM(F61:F106)</f>
        <v>0</v>
      </c>
      <c r="G107" s="41"/>
      <c r="EP107" s="10"/>
      <c r="EQ107" s="10"/>
    </row>
  </sheetData>
  <autoFilter ref="A4:EQ55" xr:uid="{00000000-0001-0000-0100-000000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  <filterColumn colId="43" showButton="0"/>
    <filterColumn colId="44" showButton="0"/>
    <filterColumn colId="46" showButton="0"/>
    <filterColumn colId="47" showButton="0"/>
    <filterColumn colId="49" showButton="0"/>
    <filterColumn colId="50" showButton="0"/>
    <filterColumn colId="52" showButton="0"/>
    <filterColumn colId="53" showButton="0"/>
    <filterColumn colId="55" showButton="0"/>
    <filterColumn colId="56" showButton="0"/>
    <filterColumn colId="58" showButton="0"/>
    <filterColumn colId="59" showButton="0"/>
    <filterColumn colId="61" showButton="0"/>
    <filterColumn colId="62" showButton="0"/>
    <filterColumn colId="64" showButton="0"/>
    <filterColumn colId="65" showButton="0"/>
    <filterColumn colId="67" showButton="0"/>
    <filterColumn colId="68" showButton="0"/>
    <filterColumn colId="70" showButton="0"/>
    <filterColumn colId="71" showButton="0"/>
    <filterColumn colId="73" showButton="0"/>
    <filterColumn colId="74" showButton="0"/>
    <filterColumn colId="76" showButton="0"/>
    <filterColumn colId="77" showButton="0"/>
    <filterColumn colId="79" showButton="0"/>
    <filterColumn colId="80" showButton="0"/>
    <filterColumn colId="82" showButton="0"/>
    <filterColumn colId="83" showButton="0"/>
    <filterColumn colId="85" showButton="0"/>
    <filterColumn colId="86" showButton="0"/>
    <filterColumn colId="88" showButton="0"/>
    <filterColumn colId="89" showButton="0"/>
    <filterColumn colId="91" showButton="0"/>
    <filterColumn colId="92" showButton="0"/>
    <filterColumn colId="94" showButton="0"/>
    <filterColumn colId="95" showButton="0"/>
    <filterColumn colId="97" showButton="0"/>
    <filterColumn colId="98" showButton="0"/>
    <filterColumn colId="100" showButton="0"/>
    <filterColumn colId="101" showButton="0"/>
    <filterColumn colId="103" showButton="0"/>
    <filterColumn colId="104" showButton="0"/>
    <filterColumn colId="106" showButton="0"/>
    <filterColumn colId="107" showButton="0"/>
    <filterColumn colId="109" showButton="0"/>
    <filterColumn colId="110" showButton="0"/>
    <filterColumn colId="112" showButton="0"/>
    <filterColumn colId="113" showButton="0"/>
    <filterColumn colId="115" showButton="0"/>
    <filterColumn colId="116" showButton="0"/>
    <filterColumn colId="118" showButton="0"/>
    <filterColumn colId="119" showButton="0"/>
    <filterColumn colId="121" showButton="0"/>
    <filterColumn colId="122" showButton="0"/>
    <filterColumn colId="124" showButton="0"/>
    <filterColumn colId="125" showButton="0"/>
    <filterColumn colId="127" showButton="0"/>
    <filterColumn colId="128" showButton="0"/>
    <filterColumn colId="130" showButton="0"/>
    <filterColumn colId="131" showButton="0"/>
    <filterColumn colId="133" showButton="0"/>
    <filterColumn colId="134" showButton="0"/>
    <filterColumn colId="136" showButton="0"/>
    <filterColumn colId="137" showButton="0"/>
    <filterColumn colId="139" showButton="0"/>
    <filterColumn colId="140" showButton="0"/>
    <filterColumn colId="142" showButton="0"/>
    <filterColumn colId="143" showButton="0"/>
  </autoFilter>
  <mergeCells count="55">
    <mergeCell ref="ED4:EF4"/>
    <mergeCell ref="EG4:EI4"/>
    <mergeCell ref="EJ4:EL4"/>
    <mergeCell ref="EM4:EO4"/>
    <mergeCell ref="A59:G59"/>
    <mergeCell ref="DL4:DN4"/>
    <mergeCell ref="DO4:DQ4"/>
    <mergeCell ref="DR4:DT4"/>
    <mergeCell ref="DU4:DW4"/>
    <mergeCell ref="DX4:DZ4"/>
    <mergeCell ref="EA4:EC4"/>
    <mergeCell ref="CT4:CV4"/>
    <mergeCell ref="CW4:CY4"/>
    <mergeCell ref="CZ4:DB4"/>
    <mergeCell ref="DC4:DE4"/>
    <mergeCell ref="DF4:DH4"/>
    <mergeCell ref="DI4:DK4"/>
    <mergeCell ref="CB4:CD4"/>
    <mergeCell ref="CE4:CG4"/>
    <mergeCell ref="CH4:CJ4"/>
    <mergeCell ref="CK4:CM4"/>
    <mergeCell ref="CN4:CP4"/>
    <mergeCell ref="CQ4:CS4"/>
    <mergeCell ref="BY4:CA4"/>
    <mergeCell ref="AR4:AT4"/>
    <mergeCell ref="AU4:AW4"/>
    <mergeCell ref="AX4:AZ4"/>
    <mergeCell ref="BA4:BC4"/>
    <mergeCell ref="BD4:BF4"/>
    <mergeCell ref="BG4:BI4"/>
    <mergeCell ref="BJ4:BL4"/>
    <mergeCell ref="BM4:BO4"/>
    <mergeCell ref="BP4:BR4"/>
    <mergeCell ref="BS4:BU4"/>
    <mergeCell ref="BV4:BX4"/>
    <mergeCell ref="AO4:AQ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3:G3"/>
    <mergeCell ref="A4:A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063F-8561-4358-B41F-A057FE8AF376}">
  <dimension ref="A1:EQ125"/>
  <sheetViews>
    <sheetView topLeftCell="C63" workbookViewId="0">
      <selection activeCell="F6" sqref="F6:F73"/>
    </sheetView>
  </sheetViews>
  <sheetFormatPr defaultColWidth="9.6640625" defaultRowHeight="15"/>
  <cols>
    <col min="1" max="1" width="23.33203125" style="10" bestFit="1" customWidth="1"/>
    <col min="2" max="2" width="79.5" style="10" bestFit="1" customWidth="1"/>
    <col min="3" max="3" width="126.5" style="10" bestFit="1" customWidth="1"/>
    <col min="4" max="4" width="98" style="10" bestFit="1" customWidth="1"/>
    <col min="5" max="5" width="25.33203125" style="10" bestFit="1" customWidth="1"/>
    <col min="6" max="6" width="15.5" style="10" customWidth="1"/>
    <col min="7" max="7" width="8.33203125" style="10" bestFit="1" customWidth="1"/>
    <col min="8" max="8" width="6" style="12" bestFit="1" customWidth="1"/>
    <col min="9" max="9" width="12" style="12" bestFit="1" customWidth="1"/>
    <col min="10" max="10" width="10.5" style="12" bestFit="1" customWidth="1"/>
    <col min="11" max="11" width="6" style="12" customWidth="1"/>
    <col min="12" max="12" width="12" style="12" bestFit="1" customWidth="1"/>
    <col min="13" max="13" width="10.5" style="12" bestFit="1" customWidth="1"/>
    <col min="14" max="14" width="6" style="12" customWidth="1"/>
    <col min="15" max="15" width="12" style="12" bestFit="1" customWidth="1"/>
    <col min="16" max="16" width="10.5" style="12" bestFit="1" customWidth="1"/>
    <col min="17" max="17" width="6" style="12" bestFit="1" customWidth="1"/>
    <col min="18" max="18" width="12" style="12" bestFit="1" customWidth="1"/>
    <col min="19" max="19" width="10.5" style="12" bestFit="1" customWidth="1"/>
    <col min="20" max="20" width="6" style="12" bestFit="1" customWidth="1"/>
    <col min="21" max="21" width="12" style="12" bestFit="1" customWidth="1"/>
    <col min="22" max="22" width="10.5" style="12" bestFit="1" customWidth="1"/>
    <col min="23" max="23" width="6" style="12" bestFit="1" customWidth="1"/>
    <col min="24" max="24" width="12" style="12" bestFit="1" customWidth="1"/>
    <col min="25" max="25" width="10.5" style="12" bestFit="1" customWidth="1"/>
    <col min="26" max="26" width="6" style="12" bestFit="1" customWidth="1"/>
    <col min="27" max="27" width="12" style="12" bestFit="1" customWidth="1"/>
    <col min="28" max="28" width="10.5" style="12" bestFit="1" customWidth="1"/>
    <col min="29" max="29" width="6" style="12" bestFit="1" customWidth="1"/>
    <col min="30" max="30" width="12" style="12" bestFit="1" customWidth="1"/>
    <col min="31" max="31" width="10.5" style="12" bestFit="1" customWidth="1"/>
    <col min="32" max="32" width="6" style="12" bestFit="1" customWidth="1"/>
    <col min="33" max="33" width="12" style="12" bestFit="1" customWidth="1"/>
    <col min="34" max="34" width="10.5" style="12" bestFit="1" customWidth="1"/>
    <col min="35" max="35" width="6" style="12" bestFit="1" customWidth="1"/>
    <col min="36" max="36" width="12" style="12" bestFit="1" customWidth="1"/>
    <col min="37" max="37" width="10.5" style="12" bestFit="1" customWidth="1"/>
    <col min="38" max="38" width="6" style="12" hidden="1" customWidth="1"/>
    <col min="39" max="39" width="12" style="12" hidden="1" customWidth="1"/>
    <col min="40" max="40" width="10.5" style="12" hidden="1" customWidth="1"/>
    <col min="41" max="41" width="6" style="12" hidden="1" customWidth="1"/>
    <col min="42" max="42" width="12" style="12" hidden="1" customWidth="1"/>
    <col min="43" max="43" width="10.5" style="12" hidden="1" customWidth="1"/>
    <col min="44" max="44" width="6" style="12" hidden="1" customWidth="1"/>
    <col min="45" max="45" width="12" style="12" hidden="1" customWidth="1"/>
    <col min="46" max="46" width="10.5" style="12" hidden="1" customWidth="1"/>
    <col min="47" max="47" width="6" style="12" hidden="1" customWidth="1"/>
    <col min="48" max="48" width="12" style="12" hidden="1" customWidth="1"/>
    <col min="49" max="49" width="10.5" style="12" hidden="1" customWidth="1"/>
    <col min="50" max="50" width="6" style="12" bestFit="1" customWidth="1"/>
    <col min="51" max="51" width="12" style="12" bestFit="1" customWidth="1"/>
    <col min="52" max="52" width="10.5" style="12" bestFit="1" customWidth="1"/>
    <col min="53" max="53" width="6" style="12" bestFit="1" customWidth="1"/>
    <col min="54" max="54" width="12" style="12" bestFit="1" customWidth="1"/>
    <col min="55" max="55" width="10.5" style="12" bestFit="1" customWidth="1"/>
    <col min="56" max="56" width="6" style="12" hidden="1" customWidth="1"/>
    <col min="57" max="57" width="12" style="12" hidden="1" customWidth="1"/>
    <col min="58" max="58" width="10.5" style="12" hidden="1" customWidth="1"/>
    <col min="59" max="59" width="6" style="12" hidden="1" customWidth="1"/>
    <col min="60" max="60" width="12" style="12" hidden="1" customWidth="1"/>
    <col min="61" max="61" width="10.5" style="12" hidden="1" customWidth="1"/>
    <col min="62" max="62" width="6" style="12" bestFit="1" customWidth="1"/>
    <col min="63" max="63" width="12" style="12" bestFit="1" customWidth="1"/>
    <col min="64" max="64" width="10.5" style="12" bestFit="1" customWidth="1"/>
    <col min="65" max="65" width="6" style="12" hidden="1" customWidth="1"/>
    <col min="66" max="66" width="12" style="12" hidden="1" customWidth="1"/>
    <col min="67" max="67" width="10.5" style="12" hidden="1" customWidth="1"/>
    <col min="68" max="68" width="6" style="12" hidden="1" customWidth="1"/>
    <col min="69" max="69" width="12" style="12" hidden="1" customWidth="1"/>
    <col min="70" max="70" width="10.5" style="12" hidden="1" customWidth="1"/>
    <col min="71" max="71" width="6" style="12" hidden="1" customWidth="1"/>
    <col min="72" max="72" width="12" style="12" hidden="1" customWidth="1"/>
    <col min="73" max="73" width="10.5" style="12" hidden="1" customWidth="1"/>
    <col min="74" max="74" width="6" style="12" bestFit="1" customWidth="1"/>
    <col min="75" max="75" width="12" style="12" bestFit="1" customWidth="1"/>
    <col min="76" max="76" width="10.5" style="12" bestFit="1" customWidth="1"/>
    <col min="77" max="77" width="6" style="12" hidden="1" customWidth="1"/>
    <col min="78" max="78" width="12" style="12" hidden="1" customWidth="1"/>
    <col min="79" max="79" width="10.5" style="12" hidden="1" customWidth="1"/>
    <col min="80" max="80" width="6" style="12" hidden="1" customWidth="1"/>
    <col min="81" max="81" width="12" style="12" hidden="1" customWidth="1"/>
    <col min="82" max="82" width="10.5" style="12" hidden="1" customWidth="1"/>
    <col min="83" max="83" width="6" style="12" hidden="1" customWidth="1"/>
    <col min="84" max="84" width="12" style="12" hidden="1" customWidth="1"/>
    <col min="85" max="85" width="10.5" style="12" hidden="1" customWidth="1"/>
    <col min="86" max="86" width="6" style="12" hidden="1" customWidth="1"/>
    <col min="87" max="87" width="12" style="12" hidden="1" customWidth="1"/>
    <col min="88" max="88" width="10.5" style="12" hidden="1" customWidth="1"/>
    <col min="89" max="89" width="6" style="12" hidden="1" customWidth="1"/>
    <col min="90" max="90" width="12" style="12" hidden="1" customWidth="1"/>
    <col min="91" max="91" width="10.5" style="12" hidden="1" customWidth="1"/>
    <col min="92" max="92" width="6" style="12" hidden="1" customWidth="1"/>
    <col min="93" max="93" width="12" style="12" hidden="1" customWidth="1"/>
    <col min="94" max="94" width="10.5" style="12" hidden="1" customWidth="1"/>
    <col min="95" max="95" width="6" style="12" hidden="1" customWidth="1"/>
    <col min="96" max="96" width="12" style="12" hidden="1" customWidth="1"/>
    <col min="97" max="97" width="10.5" style="12" hidden="1" customWidth="1"/>
    <col min="98" max="98" width="6" style="12" hidden="1" customWidth="1"/>
    <col min="99" max="99" width="12" style="12" hidden="1" customWidth="1"/>
    <col min="100" max="100" width="10.5" style="12" hidden="1" customWidth="1"/>
    <col min="101" max="101" width="6" style="12" hidden="1" customWidth="1"/>
    <col min="102" max="102" width="12" style="12" hidden="1" customWidth="1"/>
    <col min="103" max="103" width="10.5" style="12" hidden="1" customWidth="1"/>
    <col min="104" max="104" width="6" style="12" hidden="1" customWidth="1"/>
    <col min="105" max="105" width="12" style="12" hidden="1" customWidth="1"/>
    <col min="106" max="106" width="10.5" style="12" hidden="1" customWidth="1"/>
    <col min="107" max="107" width="6" style="12" hidden="1" customWidth="1"/>
    <col min="108" max="108" width="12" style="12" hidden="1" customWidth="1"/>
    <col min="109" max="109" width="10.5" style="12" hidden="1" customWidth="1"/>
    <col min="110" max="110" width="6" style="12" bestFit="1" customWidth="1"/>
    <col min="111" max="111" width="12" style="12" bestFit="1" customWidth="1"/>
    <col min="112" max="112" width="10.5" style="12" bestFit="1" customWidth="1"/>
    <col min="113" max="113" width="6" style="12" hidden="1" customWidth="1"/>
    <col min="114" max="114" width="12" style="12" hidden="1" customWidth="1"/>
    <col min="115" max="115" width="10.5" style="12" hidden="1" customWidth="1"/>
    <col min="116" max="116" width="6" style="12" hidden="1" customWidth="1"/>
    <col min="117" max="117" width="12" style="12" hidden="1" customWidth="1"/>
    <col min="118" max="118" width="10.5" style="12" hidden="1" customWidth="1"/>
    <col min="119" max="119" width="6" style="12" hidden="1" customWidth="1"/>
    <col min="120" max="120" width="12" style="12" hidden="1" customWidth="1"/>
    <col min="121" max="121" width="10.5" style="12" hidden="1" customWidth="1"/>
    <col min="122" max="122" width="6" style="12" hidden="1" customWidth="1"/>
    <col min="123" max="123" width="12" style="12" hidden="1" customWidth="1"/>
    <col min="124" max="124" width="10.5" style="12" hidden="1" customWidth="1"/>
    <col min="125" max="125" width="6" style="12" bestFit="1" customWidth="1"/>
    <col min="126" max="126" width="12" style="12" bestFit="1" customWidth="1"/>
    <col min="127" max="127" width="10.5" style="12" bestFit="1" customWidth="1"/>
    <col min="128" max="128" width="6" style="12" bestFit="1" customWidth="1"/>
    <col min="129" max="129" width="12" style="12" bestFit="1" customWidth="1"/>
    <col min="130" max="130" width="10.5" style="12" bestFit="1" customWidth="1"/>
    <col min="131" max="131" width="6" style="12" bestFit="1" customWidth="1"/>
    <col min="132" max="132" width="12" style="12" bestFit="1" customWidth="1"/>
    <col min="133" max="133" width="10.5" style="12" bestFit="1" customWidth="1"/>
    <col min="134" max="134" width="6" style="12" bestFit="1" customWidth="1"/>
    <col min="135" max="135" width="12" style="12" bestFit="1" customWidth="1"/>
    <col min="136" max="136" width="10.5" style="12" bestFit="1" customWidth="1"/>
    <col min="137" max="137" width="6" style="12" hidden="1" customWidth="1"/>
    <col min="138" max="138" width="12" style="12" hidden="1" customWidth="1"/>
    <col min="139" max="139" width="10.5" style="12" hidden="1" customWidth="1"/>
    <col min="140" max="140" width="6" style="12" hidden="1" customWidth="1"/>
    <col min="141" max="141" width="12" style="12" hidden="1" customWidth="1"/>
    <col min="142" max="142" width="10.5" style="12" hidden="1" customWidth="1"/>
    <col min="143" max="143" width="6" style="12" hidden="1" customWidth="1"/>
    <col min="144" max="144" width="12" style="12" hidden="1" customWidth="1"/>
    <col min="145" max="145" width="10.5" style="12" hidden="1" customWidth="1"/>
    <col min="146" max="147" width="9.6640625" style="10" customWidth="1"/>
    <col min="148" max="16384" width="9.6640625" style="10"/>
  </cols>
  <sheetData>
    <row r="1" spans="1:145" ht="24">
      <c r="A1" s="9" t="s">
        <v>361</v>
      </c>
      <c r="E1" s="10">
        <f>104+51</f>
        <v>155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</row>
    <row r="2" spans="1:145" ht="15.75" thickBot="1">
      <c r="A2" s="11"/>
      <c r="B2" s="11"/>
      <c r="C2" s="11"/>
      <c r="D2" s="11"/>
      <c r="F2" s="1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</row>
    <row r="3" spans="1:145" ht="18.75">
      <c r="A3" s="53" t="s">
        <v>362</v>
      </c>
      <c r="B3" s="54"/>
      <c r="C3" s="54"/>
      <c r="D3" s="54"/>
      <c r="E3" s="54"/>
      <c r="F3" s="54"/>
      <c r="G3" s="55"/>
    </row>
    <row r="4" spans="1:145">
      <c r="A4" s="56" t="s">
        <v>363</v>
      </c>
      <c r="B4" s="56" t="s">
        <v>364</v>
      </c>
      <c r="C4" s="56" t="s">
        <v>365</v>
      </c>
      <c r="D4" s="56" t="s">
        <v>366</v>
      </c>
      <c r="E4" s="56" t="s">
        <v>367</v>
      </c>
      <c r="F4" s="56" t="s">
        <v>368</v>
      </c>
      <c r="G4" s="57" t="s">
        <v>369</v>
      </c>
      <c r="H4" s="59">
        <f>A79</f>
        <v>2</v>
      </c>
      <c r="I4" s="59"/>
      <c r="J4" s="60"/>
      <c r="K4" s="58">
        <f>A80</f>
        <v>3</v>
      </c>
      <c r="L4" s="59"/>
      <c r="M4" s="60"/>
      <c r="N4" s="58">
        <f>A81</f>
        <v>4</v>
      </c>
      <c r="O4" s="59"/>
      <c r="P4" s="60"/>
      <c r="Q4" s="58">
        <f>A82</f>
        <v>5</v>
      </c>
      <c r="R4" s="59"/>
      <c r="S4" s="60"/>
      <c r="T4" s="58">
        <f>A83</f>
        <v>6</v>
      </c>
      <c r="U4" s="59"/>
      <c r="V4" s="60"/>
      <c r="W4" s="58">
        <f>A84</f>
        <v>7</v>
      </c>
      <c r="X4" s="59"/>
      <c r="Y4" s="60"/>
      <c r="Z4" s="58">
        <f>A85</f>
        <v>8</v>
      </c>
      <c r="AA4" s="59"/>
      <c r="AB4" s="60"/>
      <c r="AC4" s="58">
        <f>A86</f>
        <v>9</v>
      </c>
      <c r="AD4" s="59"/>
      <c r="AE4" s="60"/>
      <c r="AF4" s="58">
        <f>A87</f>
        <v>10</v>
      </c>
      <c r="AG4" s="59"/>
      <c r="AH4" s="60"/>
      <c r="AI4" s="58">
        <f>A88</f>
        <v>11</v>
      </c>
      <c r="AJ4" s="59"/>
      <c r="AK4" s="60"/>
      <c r="AL4" s="58" t="str">
        <f>A89</f>
        <v>-</v>
      </c>
      <c r="AM4" s="59"/>
      <c r="AN4" s="60"/>
      <c r="AO4" s="58" t="str">
        <f>A90</f>
        <v>-</v>
      </c>
      <c r="AP4" s="59"/>
      <c r="AQ4" s="60"/>
      <c r="AR4" s="58" t="str">
        <f>A91</f>
        <v>-</v>
      </c>
      <c r="AS4" s="59"/>
      <c r="AT4" s="60"/>
      <c r="AU4" s="58" t="str">
        <f>A92</f>
        <v>-</v>
      </c>
      <c r="AV4" s="59"/>
      <c r="AW4" s="60"/>
      <c r="AX4" s="58">
        <f>A93</f>
        <v>16</v>
      </c>
      <c r="AY4" s="59"/>
      <c r="AZ4" s="60"/>
      <c r="BA4" s="58">
        <f>A94</f>
        <v>17</v>
      </c>
      <c r="BB4" s="59"/>
      <c r="BC4" s="60"/>
      <c r="BD4" s="58" t="str">
        <f>A95</f>
        <v>-</v>
      </c>
      <c r="BE4" s="59"/>
      <c r="BF4" s="60"/>
      <c r="BG4" s="58" t="str">
        <f>A96</f>
        <v>-</v>
      </c>
      <c r="BH4" s="59"/>
      <c r="BI4" s="60"/>
      <c r="BJ4" s="58">
        <f>A97</f>
        <v>20</v>
      </c>
      <c r="BK4" s="59"/>
      <c r="BL4" s="60"/>
      <c r="BM4" s="58" t="str">
        <f>A98</f>
        <v>-</v>
      </c>
      <c r="BN4" s="59"/>
      <c r="BO4" s="60"/>
      <c r="BP4" s="58" t="str">
        <f>A99</f>
        <v>-</v>
      </c>
      <c r="BQ4" s="59"/>
      <c r="BR4" s="60"/>
      <c r="BS4" s="58" t="str">
        <f>A100</f>
        <v>-</v>
      </c>
      <c r="BT4" s="59"/>
      <c r="BU4" s="60"/>
      <c r="BV4" s="58" t="str">
        <f>A101</f>
        <v>24HM</v>
      </c>
      <c r="BW4" s="59"/>
      <c r="BX4" s="60"/>
      <c r="BY4" s="58" t="str">
        <f>A102</f>
        <v>-</v>
      </c>
      <c r="BZ4" s="59"/>
      <c r="CA4" s="60"/>
      <c r="CB4" s="58" t="str">
        <f>A103</f>
        <v>-</v>
      </c>
      <c r="CC4" s="59"/>
      <c r="CD4" s="60"/>
      <c r="CE4" s="58" t="str">
        <f>A104</f>
        <v>-</v>
      </c>
      <c r="CF4" s="59"/>
      <c r="CG4" s="60"/>
      <c r="CH4" s="58" t="str">
        <f>A105</f>
        <v>-</v>
      </c>
      <c r="CI4" s="59"/>
      <c r="CJ4" s="60"/>
      <c r="CK4" s="58" t="str">
        <f>A106</f>
        <v>-</v>
      </c>
      <c r="CL4" s="59"/>
      <c r="CM4" s="60"/>
      <c r="CN4" s="58" t="str">
        <f>A107</f>
        <v>-</v>
      </c>
      <c r="CO4" s="59"/>
      <c r="CP4" s="60"/>
      <c r="CQ4" s="58" t="str">
        <f>A108</f>
        <v>-</v>
      </c>
      <c r="CR4" s="59"/>
      <c r="CS4" s="60"/>
      <c r="CT4" s="58" t="str">
        <f>A109</f>
        <v>-</v>
      </c>
      <c r="CU4" s="59"/>
      <c r="CV4" s="60"/>
      <c r="CW4" s="58" t="str">
        <f>A110</f>
        <v>-</v>
      </c>
      <c r="CX4" s="59"/>
      <c r="CY4" s="60"/>
      <c r="CZ4" s="58" t="str">
        <f>A111</f>
        <v>-</v>
      </c>
      <c r="DA4" s="59"/>
      <c r="DB4" s="60"/>
      <c r="DC4" s="58" t="str">
        <f>A112</f>
        <v>-</v>
      </c>
      <c r="DD4" s="59"/>
      <c r="DE4" s="60"/>
      <c r="DF4" s="58">
        <f>A113</f>
        <v>35</v>
      </c>
      <c r="DG4" s="59"/>
      <c r="DH4" s="60"/>
      <c r="DI4" s="58" t="str">
        <f>A114</f>
        <v>-</v>
      </c>
      <c r="DJ4" s="59"/>
      <c r="DK4" s="60"/>
      <c r="DL4" s="58" t="str">
        <f>A115</f>
        <v>-</v>
      </c>
      <c r="DM4" s="59"/>
      <c r="DN4" s="60"/>
      <c r="DO4" s="58" t="str">
        <f>A116</f>
        <v>-</v>
      </c>
      <c r="DP4" s="59"/>
      <c r="DQ4" s="60"/>
      <c r="DR4" s="58" t="str">
        <f>A117</f>
        <v>-</v>
      </c>
      <c r="DS4" s="59"/>
      <c r="DT4" s="60"/>
      <c r="DU4" s="58">
        <f>A118</f>
        <v>40</v>
      </c>
      <c r="DV4" s="59"/>
      <c r="DW4" s="60"/>
      <c r="DX4" s="58">
        <f>A119</f>
        <v>41</v>
      </c>
      <c r="DY4" s="59"/>
      <c r="DZ4" s="60"/>
      <c r="EA4" s="58">
        <f>A120</f>
        <v>42</v>
      </c>
      <c r="EB4" s="59"/>
      <c r="EC4" s="60"/>
      <c r="ED4" s="58">
        <f>A121</f>
        <v>43</v>
      </c>
      <c r="EE4" s="59"/>
      <c r="EF4" s="60"/>
      <c r="EG4" s="58" t="str">
        <f>A122</f>
        <v>-</v>
      </c>
      <c r="EH4" s="59"/>
      <c r="EI4" s="60"/>
      <c r="EJ4" s="58">
        <f>A123</f>
        <v>0</v>
      </c>
      <c r="EK4" s="59"/>
      <c r="EL4" s="60"/>
      <c r="EM4" s="58">
        <f>A124</f>
        <v>0</v>
      </c>
      <c r="EN4" s="59"/>
      <c r="EO4" s="60"/>
    </row>
    <row r="5" spans="1:145">
      <c r="A5" s="56"/>
      <c r="B5" s="56"/>
      <c r="C5" s="56"/>
      <c r="D5" s="56"/>
      <c r="E5" s="56"/>
      <c r="F5" s="56"/>
      <c r="G5" s="57"/>
      <c r="H5" s="13" t="s">
        <v>370</v>
      </c>
      <c r="I5" s="14" t="s">
        <v>371</v>
      </c>
      <c r="J5" s="14" t="s">
        <v>372</v>
      </c>
      <c r="K5" s="14" t="s">
        <v>370</v>
      </c>
      <c r="L5" s="14" t="s">
        <v>371</v>
      </c>
      <c r="M5" s="14" t="s">
        <v>372</v>
      </c>
      <c r="N5" s="14" t="s">
        <v>370</v>
      </c>
      <c r="O5" s="14" t="s">
        <v>371</v>
      </c>
      <c r="P5" s="14" t="s">
        <v>372</v>
      </c>
      <c r="Q5" s="14" t="s">
        <v>370</v>
      </c>
      <c r="R5" s="14" t="s">
        <v>371</v>
      </c>
      <c r="S5" s="14" t="s">
        <v>372</v>
      </c>
      <c r="T5" s="14" t="s">
        <v>370</v>
      </c>
      <c r="U5" s="14" t="s">
        <v>371</v>
      </c>
      <c r="V5" s="14" t="s">
        <v>372</v>
      </c>
      <c r="W5" s="14" t="s">
        <v>370</v>
      </c>
      <c r="X5" s="14" t="s">
        <v>371</v>
      </c>
      <c r="Y5" s="14" t="s">
        <v>372</v>
      </c>
      <c r="Z5" s="14" t="s">
        <v>370</v>
      </c>
      <c r="AA5" s="14" t="s">
        <v>371</v>
      </c>
      <c r="AB5" s="14" t="s">
        <v>372</v>
      </c>
      <c r="AC5" s="14" t="s">
        <v>370</v>
      </c>
      <c r="AD5" s="14" t="s">
        <v>371</v>
      </c>
      <c r="AE5" s="14" t="s">
        <v>372</v>
      </c>
      <c r="AF5" s="14" t="s">
        <v>370</v>
      </c>
      <c r="AG5" s="14" t="s">
        <v>371</v>
      </c>
      <c r="AH5" s="14" t="s">
        <v>372</v>
      </c>
      <c r="AI5" s="14" t="s">
        <v>370</v>
      </c>
      <c r="AJ5" s="14" t="s">
        <v>371</v>
      </c>
      <c r="AK5" s="14" t="s">
        <v>372</v>
      </c>
      <c r="AL5" s="14" t="s">
        <v>370</v>
      </c>
      <c r="AM5" s="14" t="s">
        <v>371</v>
      </c>
      <c r="AN5" s="14" t="s">
        <v>372</v>
      </c>
      <c r="AO5" s="14" t="s">
        <v>370</v>
      </c>
      <c r="AP5" s="14" t="s">
        <v>371</v>
      </c>
      <c r="AQ5" s="14" t="s">
        <v>372</v>
      </c>
      <c r="AR5" s="14" t="s">
        <v>370</v>
      </c>
      <c r="AS5" s="14" t="s">
        <v>371</v>
      </c>
      <c r="AT5" s="14" t="s">
        <v>372</v>
      </c>
      <c r="AU5" s="14" t="s">
        <v>370</v>
      </c>
      <c r="AV5" s="14" t="s">
        <v>371</v>
      </c>
      <c r="AW5" s="14" t="s">
        <v>372</v>
      </c>
      <c r="AX5" s="14" t="s">
        <v>370</v>
      </c>
      <c r="AY5" s="14" t="s">
        <v>371</v>
      </c>
      <c r="AZ5" s="14" t="s">
        <v>372</v>
      </c>
      <c r="BA5" s="14" t="s">
        <v>370</v>
      </c>
      <c r="BB5" s="14" t="s">
        <v>371</v>
      </c>
      <c r="BC5" s="14" t="s">
        <v>372</v>
      </c>
      <c r="BD5" s="14" t="s">
        <v>370</v>
      </c>
      <c r="BE5" s="14" t="s">
        <v>371</v>
      </c>
      <c r="BF5" s="14" t="s">
        <v>372</v>
      </c>
      <c r="BG5" s="14" t="s">
        <v>370</v>
      </c>
      <c r="BH5" s="14" t="s">
        <v>371</v>
      </c>
      <c r="BI5" s="14" t="s">
        <v>372</v>
      </c>
      <c r="BJ5" s="14" t="s">
        <v>370</v>
      </c>
      <c r="BK5" s="14" t="s">
        <v>371</v>
      </c>
      <c r="BL5" s="14" t="s">
        <v>372</v>
      </c>
      <c r="BM5" s="14" t="s">
        <v>370</v>
      </c>
      <c r="BN5" s="14" t="s">
        <v>371</v>
      </c>
      <c r="BO5" s="14" t="s">
        <v>372</v>
      </c>
      <c r="BP5" s="14" t="s">
        <v>370</v>
      </c>
      <c r="BQ5" s="14" t="s">
        <v>371</v>
      </c>
      <c r="BR5" s="14" t="s">
        <v>372</v>
      </c>
      <c r="BS5" s="14" t="s">
        <v>370</v>
      </c>
      <c r="BT5" s="14" t="s">
        <v>371</v>
      </c>
      <c r="BU5" s="14" t="s">
        <v>372</v>
      </c>
      <c r="BV5" s="14" t="s">
        <v>370</v>
      </c>
      <c r="BW5" s="14" t="s">
        <v>371</v>
      </c>
      <c r="BX5" s="14" t="s">
        <v>372</v>
      </c>
      <c r="BY5" s="14" t="s">
        <v>370</v>
      </c>
      <c r="BZ5" s="14" t="s">
        <v>371</v>
      </c>
      <c r="CA5" s="14" t="s">
        <v>372</v>
      </c>
      <c r="CB5" s="14" t="s">
        <v>370</v>
      </c>
      <c r="CC5" s="14" t="s">
        <v>371</v>
      </c>
      <c r="CD5" s="14" t="s">
        <v>372</v>
      </c>
      <c r="CE5" s="14" t="s">
        <v>370</v>
      </c>
      <c r="CF5" s="14" t="s">
        <v>371</v>
      </c>
      <c r="CG5" s="14" t="s">
        <v>372</v>
      </c>
      <c r="CH5" s="14" t="s">
        <v>370</v>
      </c>
      <c r="CI5" s="14" t="s">
        <v>371</v>
      </c>
      <c r="CJ5" s="14" t="s">
        <v>372</v>
      </c>
      <c r="CK5" s="14" t="s">
        <v>370</v>
      </c>
      <c r="CL5" s="14" t="s">
        <v>371</v>
      </c>
      <c r="CM5" s="14" t="s">
        <v>372</v>
      </c>
      <c r="CN5" s="14" t="s">
        <v>370</v>
      </c>
      <c r="CO5" s="14" t="s">
        <v>371</v>
      </c>
      <c r="CP5" s="14" t="s">
        <v>372</v>
      </c>
      <c r="CQ5" s="14" t="s">
        <v>370</v>
      </c>
      <c r="CR5" s="14" t="s">
        <v>371</v>
      </c>
      <c r="CS5" s="14" t="s">
        <v>372</v>
      </c>
      <c r="CT5" s="14" t="s">
        <v>370</v>
      </c>
      <c r="CU5" s="14" t="s">
        <v>371</v>
      </c>
      <c r="CV5" s="14" t="s">
        <v>372</v>
      </c>
      <c r="CW5" s="14" t="s">
        <v>370</v>
      </c>
      <c r="CX5" s="14" t="s">
        <v>371</v>
      </c>
      <c r="CY5" s="14" t="s">
        <v>372</v>
      </c>
      <c r="CZ5" s="14" t="s">
        <v>370</v>
      </c>
      <c r="DA5" s="14" t="s">
        <v>371</v>
      </c>
      <c r="DB5" s="14" t="s">
        <v>372</v>
      </c>
      <c r="DC5" s="14" t="s">
        <v>370</v>
      </c>
      <c r="DD5" s="14" t="s">
        <v>371</v>
      </c>
      <c r="DE5" s="14" t="s">
        <v>372</v>
      </c>
      <c r="DF5" s="14" t="s">
        <v>370</v>
      </c>
      <c r="DG5" s="14" t="s">
        <v>371</v>
      </c>
      <c r="DH5" s="14" t="s">
        <v>372</v>
      </c>
      <c r="DI5" s="14" t="s">
        <v>370</v>
      </c>
      <c r="DJ5" s="14" t="s">
        <v>371</v>
      </c>
      <c r="DK5" s="14" t="s">
        <v>372</v>
      </c>
      <c r="DL5" s="14" t="s">
        <v>370</v>
      </c>
      <c r="DM5" s="14" t="s">
        <v>371</v>
      </c>
      <c r="DN5" s="14" t="s">
        <v>372</v>
      </c>
      <c r="DO5" s="14" t="s">
        <v>370</v>
      </c>
      <c r="DP5" s="14" t="s">
        <v>371</v>
      </c>
      <c r="DQ5" s="14" t="s">
        <v>372</v>
      </c>
      <c r="DR5" s="14" t="s">
        <v>370</v>
      </c>
      <c r="DS5" s="14" t="s">
        <v>371</v>
      </c>
      <c r="DT5" s="14" t="s">
        <v>372</v>
      </c>
      <c r="DU5" s="14" t="s">
        <v>370</v>
      </c>
      <c r="DV5" s="14" t="s">
        <v>371</v>
      </c>
      <c r="DW5" s="14" t="s">
        <v>372</v>
      </c>
      <c r="DX5" s="14" t="s">
        <v>370</v>
      </c>
      <c r="DY5" s="14" t="s">
        <v>371</v>
      </c>
      <c r="DZ5" s="14" t="s">
        <v>372</v>
      </c>
      <c r="EA5" s="14" t="s">
        <v>370</v>
      </c>
      <c r="EB5" s="14" t="s">
        <v>371</v>
      </c>
      <c r="EC5" s="14" t="s">
        <v>372</v>
      </c>
      <c r="ED5" s="14" t="s">
        <v>370</v>
      </c>
      <c r="EE5" s="14" t="s">
        <v>371</v>
      </c>
      <c r="EF5" s="14" t="s">
        <v>372</v>
      </c>
      <c r="EG5" s="14" t="s">
        <v>370</v>
      </c>
      <c r="EH5" s="14" t="s">
        <v>371</v>
      </c>
      <c r="EI5" s="14" t="s">
        <v>372</v>
      </c>
      <c r="EJ5" s="14" t="s">
        <v>370</v>
      </c>
      <c r="EK5" s="14" t="s">
        <v>371</v>
      </c>
      <c r="EL5" s="14" t="s">
        <v>372</v>
      </c>
      <c r="EM5" s="14" t="s">
        <v>370</v>
      </c>
      <c r="EN5" s="14" t="s">
        <v>371</v>
      </c>
      <c r="EO5" s="14" t="s">
        <v>372</v>
      </c>
    </row>
    <row r="6" spans="1:145">
      <c r="A6" s="15">
        <v>1</v>
      </c>
      <c r="B6" s="52" t="s">
        <v>508</v>
      </c>
      <c r="C6" s="16" t="s">
        <v>401</v>
      </c>
      <c r="D6" s="17" t="s">
        <v>412</v>
      </c>
      <c r="E6" s="18" t="s">
        <v>380</v>
      </c>
      <c r="F6" s="19">
        <f t="shared" ref="F6:F55" si="0">SUM(I6,L6,O6,BN6,R6,U6,X6,AA6,BZ6,CC6,CF6,AD6,AG6,AJ6,AM6,AP6,AS6,AV6,AY6,BB6,BE6,BH6,BK6,BQ6,BT6,BW6,CI6,CL6,CO6,CR6,CU6,CX6,DA6,DD6,DG6,DJ6,DM6,DP6,DS6,DV6,DY6,EB6,EE6,EH6,EK6,EN6)</f>
        <v>109</v>
      </c>
      <c r="G6" s="20"/>
      <c r="H6" s="21">
        <v>6</v>
      </c>
      <c r="I6" s="22">
        <f t="shared" ref="I6:I37" si="1">H6*$B$79</f>
        <v>6</v>
      </c>
      <c r="J6" s="22">
        <f>$G6*H6</f>
        <v>0</v>
      </c>
      <c r="K6" s="22">
        <v>6</v>
      </c>
      <c r="L6" s="22">
        <f t="shared" ref="L6:L37" si="2">K6*$B$80</f>
        <v>36</v>
      </c>
      <c r="M6" s="22">
        <f>$G6*K6</f>
        <v>0</v>
      </c>
      <c r="N6" s="22">
        <v>3</v>
      </c>
      <c r="O6" s="22">
        <f t="shared" ref="O6:O37" si="3">N6*$B$81</f>
        <v>24</v>
      </c>
      <c r="P6" s="22">
        <f>$G6*N6</f>
        <v>0</v>
      </c>
      <c r="Q6" s="22">
        <v>3</v>
      </c>
      <c r="R6" s="22">
        <f t="shared" ref="R6:R37" si="4">Q6*$B$82</f>
        <v>9</v>
      </c>
      <c r="S6" s="22">
        <f>$G6*Q6</f>
        <v>0</v>
      </c>
      <c r="T6" s="22">
        <v>6</v>
      </c>
      <c r="U6" s="22">
        <f t="shared" ref="U6:U37" si="5">T6*$B$83</f>
        <v>6</v>
      </c>
      <c r="V6" s="22">
        <f>$G6*T6</f>
        <v>0</v>
      </c>
      <c r="W6" s="22">
        <v>3</v>
      </c>
      <c r="X6" s="22">
        <f t="shared" ref="X6:X37" si="6">W6*$B$84</f>
        <v>6</v>
      </c>
      <c r="Y6" s="22">
        <f>$G6*W6</f>
        <v>0</v>
      </c>
      <c r="Z6" s="22"/>
      <c r="AA6" s="22">
        <f t="shared" ref="AA6:AA37" si="7">Z6*$B$85</f>
        <v>0</v>
      </c>
      <c r="AB6" s="22">
        <f>$G6*Z6</f>
        <v>0</v>
      </c>
      <c r="AC6" s="22">
        <v>4</v>
      </c>
      <c r="AD6" s="22">
        <f t="shared" ref="AD6:AD37" si="8">AC6*$B$86</f>
        <v>4</v>
      </c>
      <c r="AE6" s="22">
        <f>$G6*AC6</f>
        <v>0</v>
      </c>
      <c r="AF6" s="22">
        <v>4</v>
      </c>
      <c r="AG6" s="22">
        <f t="shared" ref="AG6:AG37" si="9">AF6*$B$87</f>
        <v>16</v>
      </c>
      <c r="AH6" s="22">
        <f>$G6*AF6</f>
        <v>0</v>
      </c>
      <c r="AI6" s="22">
        <v>2</v>
      </c>
      <c r="AJ6" s="22">
        <f t="shared" ref="AJ6:AJ37" si="10">AI6*$B$88</f>
        <v>2</v>
      </c>
      <c r="AK6" s="22">
        <f>$G6*AI6</f>
        <v>0</v>
      </c>
      <c r="AL6" s="22"/>
      <c r="AM6" s="22">
        <f t="shared" ref="AM6:AM37" si="11">AL6*$B$89</f>
        <v>0</v>
      </c>
      <c r="AN6" s="22">
        <f>$G6*AL6</f>
        <v>0</v>
      </c>
      <c r="AO6" s="22"/>
      <c r="AP6" s="22">
        <f t="shared" ref="AP6:AP37" si="12">AO6*$B$90</f>
        <v>0</v>
      </c>
      <c r="AQ6" s="22">
        <f>$G6*AO6</f>
        <v>0</v>
      </c>
      <c r="AR6" s="22"/>
      <c r="AS6" s="22">
        <f t="shared" ref="AS6:AS37" si="13">AR6*$B$91</f>
        <v>0</v>
      </c>
      <c r="AT6" s="22">
        <f>$G6*AR6</f>
        <v>0</v>
      </c>
      <c r="AU6" s="22"/>
      <c r="AV6" s="22">
        <f t="shared" ref="AV6:AV37" si="14">AU6*$B$92</f>
        <v>0</v>
      </c>
      <c r="AW6" s="22">
        <f>$G6*AU6</f>
        <v>0</v>
      </c>
      <c r="AX6" s="22"/>
      <c r="AY6" s="22">
        <f t="shared" ref="AY6:AY37" si="15">AX6*$B$93</f>
        <v>0</v>
      </c>
      <c r="AZ6" s="22">
        <f>$G6*AX6</f>
        <v>0</v>
      </c>
      <c r="BA6" s="22"/>
      <c r="BB6" s="22">
        <f t="shared" ref="BB6:BB37" si="16">BA6*$B$94</f>
        <v>0</v>
      </c>
      <c r="BC6" s="22">
        <f>$G6*BA6</f>
        <v>0</v>
      </c>
      <c r="BD6" s="22"/>
      <c r="BE6" s="22">
        <f t="shared" ref="BE6:BE37" si="17">BD6*$B$95</f>
        <v>0</v>
      </c>
      <c r="BF6" s="22">
        <f>$G6*BD6</f>
        <v>0</v>
      </c>
      <c r="BG6" s="22"/>
      <c r="BH6" s="22">
        <f t="shared" ref="BH6:BH37" si="18">BG6*$B$96</f>
        <v>0</v>
      </c>
      <c r="BI6" s="22">
        <f>$G6*BG6</f>
        <v>0</v>
      </c>
      <c r="BJ6" s="22"/>
      <c r="BK6" s="22">
        <f t="shared" ref="BK6:BK37" si="19">BJ6*$B$97</f>
        <v>0</v>
      </c>
      <c r="BL6" s="22">
        <f>$G6*BJ6</f>
        <v>0</v>
      </c>
      <c r="BM6" s="22"/>
      <c r="BN6" s="22">
        <f t="shared" ref="BN6:BN37" si="20">BM6*$B$98</f>
        <v>0</v>
      </c>
      <c r="BO6" s="22">
        <f>$G6*BM6</f>
        <v>0</v>
      </c>
      <c r="BP6" s="22"/>
      <c r="BQ6" s="22">
        <f t="shared" ref="BQ6:BQ37" si="21">BP6*$B$99</f>
        <v>0</v>
      </c>
      <c r="BR6" s="22">
        <f>$G6*BP6</f>
        <v>0</v>
      </c>
      <c r="BS6" s="22"/>
      <c r="BT6" s="22">
        <f t="shared" ref="BT6:BT37" si="22">BS6*$B$100</f>
        <v>0</v>
      </c>
      <c r="BU6" s="22">
        <f>$G6*BS6</f>
        <v>0</v>
      </c>
      <c r="BV6" s="22"/>
      <c r="BW6" s="22">
        <f t="shared" ref="BW6:BW37" si="23">BV6*$B$101</f>
        <v>0</v>
      </c>
      <c r="BX6" s="22">
        <f>$G6*BV6</f>
        <v>0</v>
      </c>
      <c r="BY6" s="22"/>
      <c r="BZ6" s="22">
        <f t="shared" ref="BZ6:BZ37" si="24">BY6*$B$102</f>
        <v>0</v>
      </c>
      <c r="CA6" s="22">
        <f>$G6*BY6</f>
        <v>0</v>
      </c>
      <c r="CB6" s="22"/>
      <c r="CC6" s="22">
        <f t="shared" ref="CC6:CC37" si="25">CB6*$B$103</f>
        <v>0</v>
      </c>
      <c r="CD6" s="22">
        <f>$G6*CB6</f>
        <v>0</v>
      </c>
      <c r="CE6" s="22"/>
      <c r="CF6" s="22">
        <f t="shared" ref="CF6:CF37" si="26">CE6*$B$104</f>
        <v>0</v>
      </c>
      <c r="CG6" s="22">
        <f>$G6*CE6</f>
        <v>0</v>
      </c>
      <c r="CH6" s="22"/>
      <c r="CI6" s="22">
        <f t="shared" ref="CI6:CI37" si="27">CH6*$B$105</f>
        <v>0</v>
      </c>
      <c r="CJ6" s="22">
        <f>$G6*CH6</f>
        <v>0</v>
      </c>
      <c r="CK6" s="22"/>
      <c r="CL6" s="22">
        <f t="shared" ref="CL6:CL37" si="28">CK6*$B$106</f>
        <v>0</v>
      </c>
      <c r="CM6" s="22">
        <f>$G6*CK6</f>
        <v>0</v>
      </c>
      <c r="CN6" s="22"/>
      <c r="CO6" s="22">
        <f t="shared" ref="CO6:CO37" si="29">CN6*$B$107</f>
        <v>0</v>
      </c>
      <c r="CP6" s="22">
        <f>$G6*CN6</f>
        <v>0</v>
      </c>
      <c r="CQ6" s="22"/>
      <c r="CR6" s="22">
        <f t="shared" ref="CR6:CR37" si="30">CQ6*$B$108</f>
        <v>0</v>
      </c>
      <c r="CS6" s="22">
        <f>$G6*CQ6</f>
        <v>0</v>
      </c>
      <c r="CT6" s="22"/>
      <c r="CU6" s="22">
        <f t="shared" ref="CU6:CU37" si="31">CT6*$B$109</f>
        <v>0</v>
      </c>
      <c r="CV6" s="22">
        <f>$G6*CT6</f>
        <v>0</v>
      </c>
      <c r="CW6" s="22"/>
      <c r="CX6" s="22">
        <f t="shared" ref="CX6:CX37" si="32">CW6*$B$110</f>
        <v>0</v>
      </c>
      <c r="CY6" s="22">
        <f>$G6*CW6</f>
        <v>0</v>
      </c>
      <c r="CZ6" s="22"/>
      <c r="DA6" s="22">
        <f t="shared" ref="DA6:DA37" si="33">CZ6*$B$111</f>
        <v>0</v>
      </c>
      <c r="DB6" s="22">
        <f>$G6*CZ6</f>
        <v>0</v>
      </c>
      <c r="DC6" s="22"/>
      <c r="DD6" s="22">
        <f t="shared" ref="DD6:DD37" si="34">DC6*$B$112</f>
        <v>0</v>
      </c>
      <c r="DE6" s="22">
        <f>$G6*DC6</f>
        <v>0</v>
      </c>
      <c r="DF6" s="22"/>
      <c r="DG6" s="22">
        <f t="shared" ref="DG6:DG37" si="35">DF6*$B$113</f>
        <v>0</v>
      </c>
      <c r="DH6" s="22">
        <f>$G6*DF6</f>
        <v>0</v>
      </c>
      <c r="DI6" s="22"/>
      <c r="DJ6" s="22">
        <f t="shared" ref="DJ6:DJ37" si="36">DI6*$B$114</f>
        <v>0</v>
      </c>
      <c r="DK6" s="22">
        <f>$G6*DI6</f>
        <v>0</v>
      </c>
      <c r="DL6" s="22"/>
      <c r="DM6" s="22">
        <f t="shared" ref="DM6:DM37" si="37">DL6*$B$115</f>
        <v>0</v>
      </c>
      <c r="DN6" s="22">
        <f>$G6*DL6</f>
        <v>0</v>
      </c>
      <c r="DO6" s="22"/>
      <c r="DP6" s="22">
        <f t="shared" ref="DP6:DP37" si="38">DO6*$B$116</f>
        <v>0</v>
      </c>
      <c r="DQ6" s="22">
        <f>$G6*DO6</f>
        <v>0</v>
      </c>
      <c r="DR6" s="22"/>
      <c r="DS6" s="22">
        <f t="shared" ref="DS6:DS37" si="39">DR6*$B$117</f>
        <v>0</v>
      </c>
      <c r="DT6" s="22">
        <f>$G6*DR6</f>
        <v>0</v>
      </c>
      <c r="DU6" s="22"/>
      <c r="DV6" s="22">
        <f t="shared" ref="DV6:DV37" si="40">DU6*$B$118</f>
        <v>0</v>
      </c>
      <c r="DW6" s="22">
        <f>$G6*DU6</f>
        <v>0</v>
      </c>
      <c r="DX6" s="22"/>
      <c r="DY6" s="22">
        <f t="shared" ref="DY6:DY37" si="41">DX6*$B$119</f>
        <v>0</v>
      </c>
      <c r="DZ6" s="22">
        <f>$G6*DX6</f>
        <v>0</v>
      </c>
      <c r="EA6" s="22"/>
      <c r="EB6" s="22">
        <f t="shared" ref="EB6:EB37" si="42">EA6*$B$120</f>
        <v>0</v>
      </c>
      <c r="EC6" s="22">
        <f>$G6*EA6</f>
        <v>0</v>
      </c>
      <c r="ED6" s="22"/>
      <c r="EE6" s="22">
        <f t="shared" ref="EE6:EE37" si="43">ED6*$B$121</f>
        <v>0</v>
      </c>
      <c r="EF6" s="22">
        <f>$G6*ED6</f>
        <v>0</v>
      </c>
      <c r="EG6" s="22"/>
      <c r="EH6" s="22">
        <f t="shared" ref="EH6:EH37" si="44">EG6*$B$122</f>
        <v>0</v>
      </c>
      <c r="EI6" s="22">
        <f>$G6*EG6</f>
        <v>0</v>
      </c>
      <c r="EJ6" s="22"/>
      <c r="EK6" s="22">
        <f t="shared" ref="EK6:EK37" si="45">EJ6*$B$123</f>
        <v>0</v>
      </c>
      <c r="EL6" s="22">
        <f>$G6*EJ6</f>
        <v>0</v>
      </c>
      <c r="EM6" s="22"/>
      <c r="EN6" s="22">
        <f t="shared" ref="EN6:EN37" si="46">EM6*$B$124</f>
        <v>0</v>
      </c>
      <c r="EO6" s="22">
        <f>$G6*EM6</f>
        <v>0</v>
      </c>
    </row>
    <row r="7" spans="1:145">
      <c r="A7" s="15">
        <v>2</v>
      </c>
      <c r="B7" s="17" t="s">
        <v>509</v>
      </c>
      <c r="C7" s="16" t="s">
        <v>378</v>
      </c>
      <c r="D7" s="17" t="s">
        <v>510</v>
      </c>
      <c r="E7" s="18" t="s">
        <v>399</v>
      </c>
      <c r="F7" s="19">
        <f t="shared" si="0"/>
        <v>5</v>
      </c>
      <c r="G7" s="20"/>
      <c r="H7" s="21">
        <v>2</v>
      </c>
      <c r="I7" s="22">
        <f t="shared" si="1"/>
        <v>2</v>
      </c>
      <c r="J7" s="22">
        <f t="shared" ref="J7:J13" si="47">$G7*H7</f>
        <v>0</v>
      </c>
      <c r="K7" s="22"/>
      <c r="L7" s="22">
        <f t="shared" si="2"/>
        <v>0</v>
      </c>
      <c r="M7" s="22">
        <f t="shared" ref="M7:M13" si="48">$G7*K7</f>
        <v>0</v>
      </c>
      <c r="N7" s="22"/>
      <c r="O7" s="22">
        <f t="shared" si="3"/>
        <v>0</v>
      </c>
      <c r="P7" s="22">
        <f t="shared" ref="P7:P13" si="49">$G7*N7</f>
        <v>0</v>
      </c>
      <c r="Q7" s="22"/>
      <c r="R7" s="22">
        <f t="shared" si="4"/>
        <v>0</v>
      </c>
      <c r="S7" s="22">
        <f t="shared" ref="S7:S13" si="50">$G7*Q7</f>
        <v>0</v>
      </c>
      <c r="T7" s="22"/>
      <c r="U7" s="22">
        <f t="shared" si="5"/>
        <v>0</v>
      </c>
      <c r="V7" s="22">
        <f t="shared" ref="V7:V13" si="51">$G7*T7</f>
        <v>0</v>
      </c>
      <c r="W7" s="22"/>
      <c r="X7" s="22">
        <f t="shared" si="6"/>
        <v>0</v>
      </c>
      <c r="Y7" s="22">
        <f t="shared" ref="Y7:Y13" si="52">$G7*W7</f>
        <v>0</v>
      </c>
      <c r="Z7" s="22"/>
      <c r="AA7" s="22">
        <f t="shared" si="7"/>
        <v>0</v>
      </c>
      <c r="AB7" s="22">
        <f t="shared" ref="AB7:AB13" si="53">$G7*Z7</f>
        <v>0</v>
      </c>
      <c r="AC7" s="22"/>
      <c r="AD7" s="22">
        <f t="shared" si="8"/>
        <v>0</v>
      </c>
      <c r="AE7" s="22">
        <f t="shared" ref="AE7:AE13" si="54">$G7*AC7</f>
        <v>0</v>
      </c>
      <c r="AF7" s="22"/>
      <c r="AG7" s="22">
        <f t="shared" si="9"/>
        <v>0</v>
      </c>
      <c r="AH7" s="22">
        <f t="shared" ref="AH7:AH13" si="55">$G7*AF7</f>
        <v>0</v>
      </c>
      <c r="AI7" s="22"/>
      <c r="AJ7" s="22">
        <f t="shared" si="10"/>
        <v>0</v>
      </c>
      <c r="AK7" s="22">
        <f t="shared" ref="AK7:AK13" si="56">$G7*AI7</f>
        <v>0</v>
      </c>
      <c r="AL7" s="22"/>
      <c r="AM7" s="22">
        <f t="shared" si="11"/>
        <v>0</v>
      </c>
      <c r="AN7" s="22">
        <f t="shared" ref="AN7:AN13" si="57">$G7*AL7</f>
        <v>0</v>
      </c>
      <c r="AO7" s="22"/>
      <c r="AP7" s="22">
        <f t="shared" si="12"/>
        <v>0</v>
      </c>
      <c r="AQ7" s="22">
        <f t="shared" ref="AQ7:AQ13" si="58">$G7*AO7</f>
        <v>0</v>
      </c>
      <c r="AR7" s="22"/>
      <c r="AS7" s="22">
        <f t="shared" si="13"/>
        <v>0</v>
      </c>
      <c r="AT7" s="22">
        <f t="shared" ref="AT7:AT13" si="59">$G7*AR7</f>
        <v>0</v>
      </c>
      <c r="AU7" s="22"/>
      <c r="AV7" s="22">
        <f t="shared" si="14"/>
        <v>0</v>
      </c>
      <c r="AW7" s="22">
        <f t="shared" ref="AW7:AW13" si="60">$G7*AU7</f>
        <v>0</v>
      </c>
      <c r="AX7" s="22"/>
      <c r="AY7" s="22">
        <f t="shared" si="15"/>
        <v>0</v>
      </c>
      <c r="AZ7" s="22">
        <f t="shared" ref="AZ7:AZ13" si="61">$G7*AX7</f>
        <v>0</v>
      </c>
      <c r="BA7" s="22"/>
      <c r="BB7" s="22">
        <f t="shared" si="16"/>
        <v>0</v>
      </c>
      <c r="BC7" s="22">
        <f t="shared" ref="BC7:BC13" si="62">$G7*BA7</f>
        <v>0</v>
      </c>
      <c r="BD7" s="22"/>
      <c r="BE7" s="22">
        <f t="shared" si="17"/>
        <v>0</v>
      </c>
      <c r="BF7" s="22">
        <f t="shared" ref="BF7:BF13" si="63">$G7*BD7</f>
        <v>0</v>
      </c>
      <c r="BG7" s="22"/>
      <c r="BH7" s="22">
        <f t="shared" si="18"/>
        <v>0</v>
      </c>
      <c r="BI7" s="22">
        <f t="shared" ref="BI7:BI13" si="64">$G7*BG7</f>
        <v>0</v>
      </c>
      <c r="BJ7" s="22">
        <v>1</v>
      </c>
      <c r="BK7" s="22">
        <f t="shared" si="19"/>
        <v>1</v>
      </c>
      <c r="BL7" s="22">
        <f t="shared" ref="BL7:BL13" si="65">$G7*BJ7</f>
        <v>0</v>
      </c>
      <c r="BM7" s="22"/>
      <c r="BN7" s="22">
        <f t="shared" si="20"/>
        <v>0</v>
      </c>
      <c r="BO7" s="22">
        <f t="shared" ref="BO7:BO13" si="66">$G7*BM7</f>
        <v>0</v>
      </c>
      <c r="BP7" s="22"/>
      <c r="BQ7" s="22">
        <f t="shared" si="21"/>
        <v>0</v>
      </c>
      <c r="BR7" s="22">
        <f t="shared" ref="BR7:BR13" si="67">$G7*BP7</f>
        <v>0</v>
      </c>
      <c r="BS7" s="22"/>
      <c r="BT7" s="22">
        <f t="shared" si="22"/>
        <v>0</v>
      </c>
      <c r="BU7" s="22">
        <f t="shared" ref="BU7:BU13" si="68">$G7*BS7</f>
        <v>0</v>
      </c>
      <c r="BV7" s="22"/>
      <c r="BW7" s="22">
        <f t="shared" si="23"/>
        <v>0</v>
      </c>
      <c r="BX7" s="22">
        <f t="shared" ref="BX7:BX13" si="69">$G7*BV7</f>
        <v>0</v>
      </c>
      <c r="BY7" s="22"/>
      <c r="BZ7" s="22">
        <f t="shared" si="24"/>
        <v>0</v>
      </c>
      <c r="CA7" s="22">
        <f t="shared" ref="CA7:CA13" si="70">$G7*BY7</f>
        <v>0</v>
      </c>
      <c r="CB7" s="22"/>
      <c r="CC7" s="22">
        <f t="shared" si="25"/>
        <v>0</v>
      </c>
      <c r="CD7" s="22">
        <f t="shared" ref="CD7:CD13" si="71">$G7*CB7</f>
        <v>0</v>
      </c>
      <c r="CE7" s="22"/>
      <c r="CF7" s="22">
        <f t="shared" si="26"/>
        <v>0</v>
      </c>
      <c r="CG7" s="22">
        <f t="shared" ref="CG7:CG13" si="72">$G7*CE7</f>
        <v>0</v>
      </c>
      <c r="CH7" s="22"/>
      <c r="CI7" s="22">
        <f t="shared" si="27"/>
        <v>0</v>
      </c>
      <c r="CJ7" s="22">
        <f t="shared" ref="CJ7:CJ13" si="73">$G7*CH7</f>
        <v>0</v>
      </c>
      <c r="CK7" s="22"/>
      <c r="CL7" s="22">
        <f t="shared" si="28"/>
        <v>0</v>
      </c>
      <c r="CM7" s="22">
        <f t="shared" ref="CM7:CM13" si="74">$G7*CK7</f>
        <v>0</v>
      </c>
      <c r="CN7" s="22"/>
      <c r="CO7" s="22">
        <f t="shared" si="29"/>
        <v>0</v>
      </c>
      <c r="CP7" s="22">
        <f t="shared" ref="CP7:CP13" si="75">$G7*CN7</f>
        <v>0</v>
      </c>
      <c r="CQ7" s="22"/>
      <c r="CR7" s="22">
        <f t="shared" si="30"/>
        <v>0</v>
      </c>
      <c r="CS7" s="22">
        <f t="shared" ref="CS7:CS13" si="76">$G7*CQ7</f>
        <v>0</v>
      </c>
      <c r="CT7" s="22"/>
      <c r="CU7" s="22">
        <f t="shared" si="31"/>
        <v>0</v>
      </c>
      <c r="CV7" s="22">
        <f t="shared" ref="CV7:CV13" si="77">$G7*CT7</f>
        <v>0</v>
      </c>
      <c r="CW7" s="22"/>
      <c r="CX7" s="22">
        <f t="shared" si="32"/>
        <v>0</v>
      </c>
      <c r="CY7" s="22">
        <f t="shared" ref="CY7:CY13" si="78">$G7*CW7</f>
        <v>0</v>
      </c>
      <c r="CZ7" s="22"/>
      <c r="DA7" s="22">
        <f t="shared" si="33"/>
        <v>0</v>
      </c>
      <c r="DB7" s="22">
        <f t="shared" ref="DB7:DB13" si="79">$G7*CZ7</f>
        <v>0</v>
      </c>
      <c r="DC7" s="22"/>
      <c r="DD7" s="22">
        <f t="shared" si="34"/>
        <v>0</v>
      </c>
      <c r="DE7" s="22">
        <f t="shared" ref="DE7:DE13" si="80">$G7*DC7</f>
        <v>0</v>
      </c>
      <c r="DF7" s="22">
        <v>1</v>
      </c>
      <c r="DG7" s="22">
        <f t="shared" si="35"/>
        <v>1</v>
      </c>
      <c r="DH7" s="22">
        <f t="shared" ref="DH7:DH13" si="81">$G7*DF7</f>
        <v>0</v>
      </c>
      <c r="DI7" s="22"/>
      <c r="DJ7" s="22">
        <f t="shared" si="36"/>
        <v>0</v>
      </c>
      <c r="DK7" s="22">
        <f t="shared" ref="DK7:DK13" si="82">$G7*DI7</f>
        <v>0</v>
      </c>
      <c r="DL7" s="22"/>
      <c r="DM7" s="22">
        <f t="shared" si="37"/>
        <v>0</v>
      </c>
      <c r="DN7" s="22">
        <f t="shared" ref="DN7:DN13" si="83">$G7*DL7</f>
        <v>0</v>
      </c>
      <c r="DO7" s="22"/>
      <c r="DP7" s="22">
        <f t="shared" si="38"/>
        <v>0</v>
      </c>
      <c r="DQ7" s="22">
        <f t="shared" ref="DQ7:DQ13" si="84">$G7*DO7</f>
        <v>0</v>
      </c>
      <c r="DR7" s="22"/>
      <c r="DS7" s="22">
        <f t="shared" si="39"/>
        <v>0</v>
      </c>
      <c r="DT7" s="22">
        <f t="shared" ref="DT7:DT13" si="85">$G7*DR7</f>
        <v>0</v>
      </c>
      <c r="DU7" s="22">
        <v>1</v>
      </c>
      <c r="DV7" s="22">
        <f t="shared" si="40"/>
        <v>1</v>
      </c>
      <c r="DW7" s="22">
        <f t="shared" ref="DW7:DW13" si="86">$G7*DU7</f>
        <v>0</v>
      </c>
      <c r="DX7" s="22"/>
      <c r="DY7" s="22">
        <f t="shared" si="41"/>
        <v>0</v>
      </c>
      <c r="DZ7" s="22">
        <f t="shared" ref="DZ7:DZ13" si="87">$G7*DX7</f>
        <v>0</v>
      </c>
      <c r="EA7" s="22"/>
      <c r="EB7" s="22">
        <f t="shared" si="42"/>
        <v>0</v>
      </c>
      <c r="EC7" s="22">
        <f t="shared" ref="EC7:EC13" si="88">$G7*EA7</f>
        <v>0</v>
      </c>
      <c r="ED7" s="22"/>
      <c r="EE7" s="22">
        <f t="shared" si="43"/>
        <v>0</v>
      </c>
      <c r="EF7" s="22">
        <f t="shared" ref="EF7:EF13" si="89">$G7*ED7</f>
        <v>0</v>
      </c>
      <c r="EG7" s="22"/>
      <c r="EH7" s="22">
        <f t="shared" si="44"/>
        <v>0</v>
      </c>
      <c r="EI7" s="22">
        <f t="shared" ref="EI7:EI13" si="90">$G7*EG7</f>
        <v>0</v>
      </c>
      <c r="EJ7" s="22"/>
      <c r="EK7" s="22">
        <f t="shared" si="45"/>
        <v>0</v>
      </c>
      <c r="EL7" s="22">
        <f t="shared" ref="EL7:EL13" si="91">$G7*EJ7</f>
        <v>0</v>
      </c>
      <c r="EM7" s="22"/>
      <c r="EN7" s="22">
        <f t="shared" si="46"/>
        <v>0</v>
      </c>
      <c r="EO7" s="22">
        <f t="shared" ref="EO7:EO13" si="92">$G7*EM7</f>
        <v>0</v>
      </c>
    </row>
    <row r="8" spans="1:145">
      <c r="A8" s="15">
        <v>3</v>
      </c>
      <c r="B8" s="17" t="s">
        <v>511</v>
      </c>
      <c r="C8" s="17" t="s">
        <v>397</v>
      </c>
      <c r="D8" s="17" t="s">
        <v>512</v>
      </c>
      <c r="E8" s="18" t="s">
        <v>399</v>
      </c>
      <c r="F8" s="19">
        <f t="shared" si="0"/>
        <v>1</v>
      </c>
      <c r="G8" s="20"/>
      <c r="H8" s="21">
        <v>1</v>
      </c>
      <c r="I8" s="22">
        <f t="shared" si="1"/>
        <v>1</v>
      </c>
      <c r="J8" s="22">
        <f t="shared" si="47"/>
        <v>0</v>
      </c>
      <c r="K8" s="22"/>
      <c r="L8" s="22">
        <f t="shared" si="2"/>
        <v>0</v>
      </c>
      <c r="M8" s="22">
        <f t="shared" si="48"/>
        <v>0</v>
      </c>
      <c r="N8" s="22"/>
      <c r="O8" s="22">
        <f t="shared" si="3"/>
        <v>0</v>
      </c>
      <c r="P8" s="22">
        <f t="shared" si="49"/>
        <v>0</v>
      </c>
      <c r="Q8" s="22"/>
      <c r="R8" s="22">
        <f t="shared" si="4"/>
        <v>0</v>
      </c>
      <c r="S8" s="22">
        <f t="shared" si="50"/>
        <v>0</v>
      </c>
      <c r="T8" s="22"/>
      <c r="U8" s="22">
        <f t="shared" si="5"/>
        <v>0</v>
      </c>
      <c r="V8" s="22">
        <f t="shared" si="51"/>
        <v>0</v>
      </c>
      <c r="W8" s="22"/>
      <c r="X8" s="22">
        <f t="shared" si="6"/>
        <v>0</v>
      </c>
      <c r="Y8" s="22">
        <f t="shared" si="52"/>
        <v>0</v>
      </c>
      <c r="Z8" s="22"/>
      <c r="AA8" s="22">
        <f t="shared" si="7"/>
        <v>0</v>
      </c>
      <c r="AB8" s="22">
        <f t="shared" si="53"/>
        <v>0</v>
      </c>
      <c r="AC8" s="22"/>
      <c r="AD8" s="22">
        <f t="shared" si="8"/>
        <v>0</v>
      </c>
      <c r="AE8" s="22">
        <f t="shared" si="54"/>
        <v>0</v>
      </c>
      <c r="AF8" s="22"/>
      <c r="AG8" s="22">
        <f t="shared" si="9"/>
        <v>0</v>
      </c>
      <c r="AH8" s="22">
        <f t="shared" si="55"/>
        <v>0</v>
      </c>
      <c r="AI8" s="22"/>
      <c r="AJ8" s="22">
        <f t="shared" si="10"/>
        <v>0</v>
      </c>
      <c r="AK8" s="22">
        <f t="shared" si="56"/>
        <v>0</v>
      </c>
      <c r="AL8" s="22"/>
      <c r="AM8" s="22">
        <f t="shared" si="11"/>
        <v>0</v>
      </c>
      <c r="AN8" s="22">
        <f t="shared" si="57"/>
        <v>0</v>
      </c>
      <c r="AO8" s="22"/>
      <c r="AP8" s="22">
        <f t="shared" si="12"/>
        <v>0</v>
      </c>
      <c r="AQ8" s="22">
        <f t="shared" si="58"/>
        <v>0</v>
      </c>
      <c r="AR8" s="22"/>
      <c r="AS8" s="22">
        <f t="shared" si="13"/>
        <v>0</v>
      </c>
      <c r="AT8" s="22">
        <f t="shared" si="59"/>
        <v>0</v>
      </c>
      <c r="AU8" s="22"/>
      <c r="AV8" s="22">
        <f t="shared" si="14"/>
        <v>0</v>
      </c>
      <c r="AW8" s="22">
        <f t="shared" si="60"/>
        <v>0</v>
      </c>
      <c r="AX8" s="22"/>
      <c r="AY8" s="22">
        <f t="shared" si="15"/>
        <v>0</v>
      </c>
      <c r="AZ8" s="22">
        <f t="shared" si="61"/>
        <v>0</v>
      </c>
      <c r="BA8" s="22"/>
      <c r="BB8" s="22">
        <f t="shared" si="16"/>
        <v>0</v>
      </c>
      <c r="BC8" s="22">
        <f t="shared" si="62"/>
        <v>0</v>
      </c>
      <c r="BD8" s="22"/>
      <c r="BE8" s="22">
        <f t="shared" si="17"/>
        <v>0</v>
      </c>
      <c r="BF8" s="22">
        <f t="shared" si="63"/>
        <v>0</v>
      </c>
      <c r="BG8" s="22"/>
      <c r="BH8" s="22">
        <f t="shared" si="18"/>
        <v>0</v>
      </c>
      <c r="BI8" s="22">
        <f t="shared" si="64"/>
        <v>0</v>
      </c>
      <c r="BJ8" s="22"/>
      <c r="BK8" s="22">
        <f t="shared" si="19"/>
        <v>0</v>
      </c>
      <c r="BL8" s="22">
        <f t="shared" si="65"/>
        <v>0</v>
      </c>
      <c r="BM8" s="22"/>
      <c r="BN8" s="22">
        <f t="shared" si="20"/>
        <v>0</v>
      </c>
      <c r="BO8" s="22">
        <f t="shared" si="66"/>
        <v>0</v>
      </c>
      <c r="BP8" s="22"/>
      <c r="BQ8" s="22">
        <f t="shared" si="21"/>
        <v>0</v>
      </c>
      <c r="BR8" s="22">
        <f t="shared" si="67"/>
        <v>0</v>
      </c>
      <c r="BS8" s="22"/>
      <c r="BT8" s="22">
        <f t="shared" si="22"/>
        <v>0</v>
      </c>
      <c r="BU8" s="22">
        <f t="shared" si="68"/>
        <v>0</v>
      </c>
      <c r="BV8" s="22"/>
      <c r="BW8" s="22">
        <f t="shared" si="23"/>
        <v>0</v>
      </c>
      <c r="BX8" s="22">
        <f t="shared" si="69"/>
        <v>0</v>
      </c>
      <c r="BY8" s="22"/>
      <c r="BZ8" s="22">
        <f t="shared" si="24"/>
        <v>0</v>
      </c>
      <c r="CA8" s="22">
        <f t="shared" si="70"/>
        <v>0</v>
      </c>
      <c r="CB8" s="22"/>
      <c r="CC8" s="22">
        <f t="shared" si="25"/>
        <v>0</v>
      </c>
      <c r="CD8" s="22">
        <f t="shared" si="71"/>
        <v>0</v>
      </c>
      <c r="CE8" s="22"/>
      <c r="CF8" s="22">
        <f t="shared" si="26"/>
        <v>0</v>
      </c>
      <c r="CG8" s="22">
        <f t="shared" si="72"/>
        <v>0</v>
      </c>
      <c r="CH8" s="22"/>
      <c r="CI8" s="22">
        <f t="shared" si="27"/>
        <v>0</v>
      </c>
      <c r="CJ8" s="22">
        <f t="shared" si="73"/>
        <v>0</v>
      </c>
      <c r="CK8" s="22"/>
      <c r="CL8" s="22">
        <f t="shared" si="28"/>
        <v>0</v>
      </c>
      <c r="CM8" s="22">
        <f t="shared" si="74"/>
        <v>0</v>
      </c>
      <c r="CN8" s="22"/>
      <c r="CO8" s="22">
        <f t="shared" si="29"/>
        <v>0</v>
      </c>
      <c r="CP8" s="22">
        <f t="shared" si="75"/>
        <v>0</v>
      </c>
      <c r="CQ8" s="22"/>
      <c r="CR8" s="22">
        <f t="shared" si="30"/>
        <v>0</v>
      </c>
      <c r="CS8" s="22">
        <f t="shared" si="76"/>
        <v>0</v>
      </c>
      <c r="CT8" s="22"/>
      <c r="CU8" s="22">
        <f t="shared" si="31"/>
        <v>0</v>
      </c>
      <c r="CV8" s="22">
        <f t="shared" si="77"/>
        <v>0</v>
      </c>
      <c r="CW8" s="22"/>
      <c r="CX8" s="22">
        <f t="shared" si="32"/>
        <v>0</v>
      </c>
      <c r="CY8" s="22">
        <f t="shared" si="78"/>
        <v>0</v>
      </c>
      <c r="CZ8" s="22"/>
      <c r="DA8" s="22">
        <f t="shared" si="33"/>
        <v>0</v>
      </c>
      <c r="DB8" s="22">
        <f t="shared" si="79"/>
        <v>0</v>
      </c>
      <c r="DC8" s="22"/>
      <c r="DD8" s="22">
        <f t="shared" si="34"/>
        <v>0</v>
      </c>
      <c r="DE8" s="22">
        <f t="shared" si="80"/>
        <v>0</v>
      </c>
      <c r="DF8" s="22"/>
      <c r="DG8" s="22">
        <f t="shared" si="35"/>
        <v>0</v>
      </c>
      <c r="DH8" s="22">
        <f t="shared" si="81"/>
        <v>0</v>
      </c>
      <c r="DI8" s="22"/>
      <c r="DJ8" s="22">
        <f t="shared" si="36"/>
        <v>0</v>
      </c>
      <c r="DK8" s="22">
        <f t="shared" si="82"/>
        <v>0</v>
      </c>
      <c r="DL8" s="22"/>
      <c r="DM8" s="22">
        <f t="shared" si="37"/>
        <v>0</v>
      </c>
      <c r="DN8" s="22">
        <f t="shared" si="83"/>
        <v>0</v>
      </c>
      <c r="DO8" s="22"/>
      <c r="DP8" s="22">
        <f t="shared" si="38"/>
        <v>0</v>
      </c>
      <c r="DQ8" s="22">
        <f t="shared" si="84"/>
        <v>0</v>
      </c>
      <c r="DR8" s="22"/>
      <c r="DS8" s="22">
        <f t="shared" si="39"/>
        <v>0</v>
      </c>
      <c r="DT8" s="22">
        <f t="shared" si="85"/>
        <v>0</v>
      </c>
      <c r="DU8" s="22"/>
      <c r="DV8" s="22">
        <f t="shared" si="40"/>
        <v>0</v>
      </c>
      <c r="DW8" s="22">
        <f t="shared" si="86"/>
        <v>0</v>
      </c>
      <c r="DX8" s="22"/>
      <c r="DY8" s="22">
        <f t="shared" si="41"/>
        <v>0</v>
      </c>
      <c r="DZ8" s="22">
        <f t="shared" si="87"/>
        <v>0</v>
      </c>
      <c r="EA8" s="22"/>
      <c r="EB8" s="22">
        <f t="shared" si="42"/>
        <v>0</v>
      </c>
      <c r="EC8" s="22">
        <f t="shared" si="88"/>
        <v>0</v>
      </c>
      <c r="ED8" s="22"/>
      <c r="EE8" s="22">
        <f t="shared" si="43"/>
        <v>0</v>
      </c>
      <c r="EF8" s="22">
        <f t="shared" si="89"/>
        <v>0</v>
      </c>
      <c r="EG8" s="22"/>
      <c r="EH8" s="22">
        <f t="shared" si="44"/>
        <v>0</v>
      </c>
      <c r="EI8" s="22">
        <f t="shared" si="90"/>
        <v>0</v>
      </c>
      <c r="EJ8" s="22"/>
      <c r="EK8" s="22">
        <f t="shared" si="45"/>
        <v>0</v>
      </c>
      <c r="EL8" s="22">
        <f t="shared" si="91"/>
        <v>0</v>
      </c>
      <c r="EM8" s="22"/>
      <c r="EN8" s="22">
        <f t="shared" si="46"/>
        <v>0</v>
      </c>
      <c r="EO8" s="22">
        <f t="shared" si="92"/>
        <v>0</v>
      </c>
    </row>
    <row r="9" spans="1:145">
      <c r="A9" s="15">
        <v>4</v>
      </c>
      <c r="B9" s="17" t="s">
        <v>513</v>
      </c>
      <c r="C9" s="16" t="s">
        <v>378</v>
      </c>
      <c r="D9" s="17" t="s">
        <v>514</v>
      </c>
      <c r="E9" s="18" t="s">
        <v>380</v>
      </c>
      <c r="F9" s="19">
        <f t="shared" si="0"/>
        <v>1</v>
      </c>
      <c r="G9" s="20"/>
      <c r="H9" s="21">
        <v>1</v>
      </c>
      <c r="I9" s="22">
        <f t="shared" si="1"/>
        <v>1</v>
      </c>
      <c r="J9" s="22">
        <f t="shared" si="47"/>
        <v>0</v>
      </c>
      <c r="K9" s="22"/>
      <c r="L9" s="22">
        <f t="shared" si="2"/>
        <v>0</v>
      </c>
      <c r="M9" s="22">
        <f t="shared" si="48"/>
        <v>0</v>
      </c>
      <c r="N9" s="22"/>
      <c r="O9" s="22">
        <f t="shared" si="3"/>
        <v>0</v>
      </c>
      <c r="P9" s="22">
        <f t="shared" si="49"/>
        <v>0</v>
      </c>
      <c r="Q9" s="22"/>
      <c r="R9" s="22">
        <f t="shared" si="4"/>
        <v>0</v>
      </c>
      <c r="S9" s="22">
        <f t="shared" si="50"/>
        <v>0</v>
      </c>
      <c r="T9" s="22"/>
      <c r="U9" s="22">
        <f t="shared" si="5"/>
        <v>0</v>
      </c>
      <c r="V9" s="22">
        <f t="shared" si="51"/>
        <v>0</v>
      </c>
      <c r="W9" s="22"/>
      <c r="X9" s="22">
        <f t="shared" si="6"/>
        <v>0</v>
      </c>
      <c r="Y9" s="22">
        <f t="shared" si="52"/>
        <v>0</v>
      </c>
      <c r="Z9" s="22"/>
      <c r="AA9" s="22">
        <f t="shared" si="7"/>
        <v>0</v>
      </c>
      <c r="AB9" s="22">
        <f t="shared" si="53"/>
        <v>0</v>
      </c>
      <c r="AC9" s="22"/>
      <c r="AD9" s="22">
        <f t="shared" si="8"/>
        <v>0</v>
      </c>
      <c r="AE9" s="22">
        <f t="shared" si="54"/>
        <v>0</v>
      </c>
      <c r="AF9" s="22"/>
      <c r="AG9" s="22">
        <f t="shared" si="9"/>
        <v>0</v>
      </c>
      <c r="AH9" s="22">
        <f t="shared" si="55"/>
        <v>0</v>
      </c>
      <c r="AI9" s="22"/>
      <c r="AJ9" s="22">
        <f t="shared" si="10"/>
        <v>0</v>
      </c>
      <c r="AK9" s="22">
        <f t="shared" si="56"/>
        <v>0</v>
      </c>
      <c r="AL9" s="22"/>
      <c r="AM9" s="22">
        <f t="shared" si="11"/>
        <v>0</v>
      </c>
      <c r="AN9" s="22">
        <f t="shared" si="57"/>
        <v>0</v>
      </c>
      <c r="AO9" s="22"/>
      <c r="AP9" s="22">
        <f t="shared" si="12"/>
        <v>0</v>
      </c>
      <c r="AQ9" s="22">
        <f t="shared" si="58"/>
        <v>0</v>
      </c>
      <c r="AR9" s="22"/>
      <c r="AS9" s="22">
        <f t="shared" si="13"/>
        <v>0</v>
      </c>
      <c r="AT9" s="22">
        <f t="shared" si="59"/>
        <v>0</v>
      </c>
      <c r="AU9" s="22"/>
      <c r="AV9" s="22">
        <f t="shared" si="14"/>
        <v>0</v>
      </c>
      <c r="AW9" s="22">
        <f t="shared" si="60"/>
        <v>0</v>
      </c>
      <c r="AX9" s="22"/>
      <c r="AY9" s="22">
        <f t="shared" si="15"/>
        <v>0</v>
      </c>
      <c r="AZ9" s="22">
        <f t="shared" si="61"/>
        <v>0</v>
      </c>
      <c r="BA9" s="22"/>
      <c r="BB9" s="22">
        <f t="shared" si="16"/>
        <v>0</v>
      </c>
      <c r="BC9" s="22">
        <f t="shared" si="62"/>
        <v>0</v>
      </c>
      <c r="BD9" s="22"/>
      <c r="BE9" s="22">
        <f t="shared" si="17"/>
        <v>0</v>
      </c>
      <c r="BF9" s="22">
        <f t="shared" si="63"/>
        <v>0</v>
      </c>
      <c r="BG9" s="22"/>
      <c r="BH9" s="22">
        <f t="shared" si="18"/>
        <v>0</v>
      </c>
      <c r="BI9" s="22">
        <f t="shared" si="64"/>
        <v>0</v>
      </c>
      <c r="BJ9" s="22"/>
      <c r="BK9" s="22">
        <f t="shared" si="19"/>
        <v>0</v>
      </c>
      <c r="BL9" s="22">
        <f t="shared" si="65"/>
        <v>0</v>
      </c>
      <c r="BM9" s="22"/>
      <c r="BN9" s="22">
        <f t="shared" si="20"/>
        <v>0</v>
      </c>
      <c r="BO9" s="22">
        <f t="shared" si="66"/>
        <v>0</v>
      </c>
      <c r="BP9" s="22"/>
      <c r="BQ9" s="22">
        <f t="shared" si="21"/>
        <v>0</v>
      </c>
      <c r="BR9" s="22">
        <f t="shared" si="67"/>
        <v>0</v>
      </c>
      <c r="BS9" s="22"/>
      <c r="BT9" s="22">
        <f t="shared" si="22"/>
        <v>0</v>
      </c>
      <c r="BU9" s="22">
        <f t="shared" si="68"/>
        <v>0</v>
      </c>
      <c r="BV9" s="22"/>
      <c r="BW9" s="22">
        <f t="shared" si="23"/>
        <v>0</v>
      </c>
      <c r="BX9" s="22">
        <f t="shared" si="69"/>
        <v>0</v>
      </c>
      <c r="BY9" s="22"/>
      <c r="BZ9" s="22">
        <f t="shared" si="24"/>
        <v>0</v>
      </c>
      <c r="CA9" s="22">
        <f t="shared" si="70"/>
        <v>0</v>
      </c>
      <c r="CB9" s="22"/>
      <c r="CC9" s="22">
        <f t="shared" si="25"/>
        <v>0</v>
      </c>
      <c r="CD9" s="22">
        <f t="shared" si="71"/>
        <v>0</v>
      </c>
      <c r="CE9" s="22"/>
      <c r="CF9" s="22">
        <f t="shared" si="26"/>
        <v>0</v>
      </c>
      <c r="CG9" s="22">
        <f t="shared" si="72"/>
        <v>0</v>
      </c>
      <c r="CH9" s="22"/>
      <c r="CI9" s="22">
        <f t="shared" si="27"/>
        <v>0</v>
      </c>
      <c r="CJ9" s="22">
        <f t="shared" si="73"/>
        <v>0</v>
      </c>
      <c r="CK9" s="22"/>
      <c r="CL9" s="22">
        <f t="shared" si="28"/>
        <v>0</v>
      </c>
      <c r="CM9" s="22">
        <f t="shared" si="74"/>
        <v>0</v>
      </c>
      <c r="CN9" s="22"/>
      <c r="CO9" s="22">
        <f t="shared" si="29"/>
        <v>0</v>
      </c>
      <c r="CP9" s="22">
        <f t="shared" si="75"/>
        <v>0</v>
      </c>
      <c r="CQ9" s="22"/>
      <c r="CR9" s="22">
        <f t="shared" si="30"/>
        <v>0</v>
      </c>
      <c r="CS9" s="22">
        <f t="shared" si="76"/>
        <v>0</v>
      </c>
      <c r="CT9" s="22"/>
      <c r="CU9" s="22">
        <f t="shared" si="31"/>
        <v>0</v>
      </c>
      <c r="CV9" s="22">
        <f t="shared" si="77"/>
        <v>0</v>
      </c>
      <c r="CW9" s="22"/>
      <c r="CX9" s="22">
        <f t="shared" si="32"/>
        <v>0</v>
      </c>
      <c r="CY9" s="22">
        <f t="shared" si="78"/>
        <v>0</v>
      </c>
      <c r="CZ9" s="22"/>
      <c r="DA9" s="22">
        <f t="shared" si="33"/>
        <v>0</v>
      </c>
      <c r="DB9" s="22">
        <f t="shared" si="79"/>
        <v>0</v>
      </c>
      <c r="DC9" s="22"/>
      <c r="DD9" s="22">
        <f t="shared" si="34"/>
        <v>0</v>
      </c>
      <c r="DE9" s="22">
        <f t="shared" si="80"/>
        <v>0</v>
      </c>
      <c r="DF9" s="22"/>
      <c r="DG9" s="22">
        <f t="shared" si="35"/>
        <v>0</v>
      </c>
      <c r="DH9" s="22">
        <f t="shared" si="81"/>
        <v>0</v>
      </c>
      <c r="DI9" s="22"/>
      <c r="DJ9" s="22">
        <f t="shared" si="36"/>
        <v>0</v>
      </c>
      <c r="DK9" s="22">
        <f t="shared" si="82"/>
        <v>0</v>
      </c>
      <c r="DL9" s="22"/>
      <c r="DM9" s="22">
        <f t="shared" si="37"/>
        <v>0</v>
      </c>
      <c r="DN9" s="22">
        <f t="shared" si="83"/>
        <v>0</v>
      </c>
      <c r="DO9" s="22"/>
      <c r="DP9" s="22">
        <f t="shared" si="38"/>
        <v>0</v>
      </c>
      <c r="DQ9" s="22">
        <f t="shared" si="84"/>
        <v>0</v>
      </c>
      <c r="DR9" s="22"/>
      <c r="DS9" s="22">
        <f t="shared" si="39"/>
        <v>0</v>
      </c>
      <c r="DT9" s="22">
        <f t="shared" si="85"/>
        <v>0</v>
      </c>
      <c r="DU9" s="22"/>
      <c r="DV9" s="22">
        <f t="shared" si="40"/>
        <v>0</v>
      </c>
      <c r="DW9" s="22">
        <f t="shared" si="86"/>
        <v>0</v>
      </c>
      <c r="DX9" s="22"/>
      <c r="DY9" s="22">
        <f t="shared" si="41"/>
        <v>0</v>
      </c>
      <c r="DZ9" s="22">
        <f t="shared" si="87"/>
        <v>0</v>
      </c>
      <c r="EA9" s="22"/>
      <c r="EB9" s="22">
        <f t="shared" si="42"/>
        <v>0</v>
      </c>
      <c r="EC9" s="22">
        <f t="shared" si="88"/>
        <v>0</v>
      </c>
      <c r="ED9" s="22"/>
      <c r="EE9" s="22">
        <f t="shared" si="43"/>
        <v>0</v>
      </c>
      <c r="EF9" s="22">
        <f t="shared" si="89"/>
        <v>0</v>
      </c>
      <c r="EG9" s="22"/>
      <c r="EH9" s="22">
        <f t="shared" si="44"/>
        <v>0</v>
      </c>
      <c r="EI9" s="22">
        <f t="shared" si="90"/>
        <v>0</v>
      </c>
      <c r="EJ9" s="22"/>
      <c r="EK9" s="22">
        <f t="shared" si="45"/>
        <v>0</v>
      </c>
      <c r="EL9" s="22">
        <f t="shared" si="91"/>
        <v>0</v>
      </c>
      <c r="EM9" s="22"/>
      <c r="EN9" s="22">
        <f t="shared" si="46"/>
        <v>0</v>
      </c>
      <c r="EO9" s="22">
        <f t="shared" si="92"/>
        <v>0</v>
      </c>
    </row>
    <row r="10" spans="1:145">
      <c r="A10" s="15">
        <v>5</v>
      </c>
      <c r="B10" s="17" t="s">
        <v>373</v>
      </c>
      <c r="C10" s="17" t="s">
        <v>374</v>
      </c>
      <c r="D10" s="18" t="s">
        <v>375</v>
      </c>
      <c r="E10" s="18" t="s">
        <v>376</v>
      </c>
      <c r="F10" s="19">
        <f t="shared" si="0"/>
        <v>26</v>
      </c>
      <c r="G10" s="20"/>
      <c r="H10" s="21">
        <v>2</v>
      </c>
      <c r="I10" s="22">
        <f t="shared" si="1"/>
        <v>2</v>
      </c>
      <c r="J10" s="22">
        <f t="shared" si="47"/>
        <v>0</v>
      </c>
      <c r="K10" s="22">
        <v>2</v>
      </c>
      <c r="L10" s="22">
        <f t="shared" si="2"/>
        <v>12</v>
      </c>
      <c r="M10" s="22">
        <f t="shared" si="48"/>
        <v>0</v>
      </c>
      <c r="N10" s="22">
        <v>1</v>
      </c>
      <c r="O10" s="22">
        <f t="shared" si="3"/>
        <v>8</v>
      </c>
      <c r="P10" s="22">
        <f t="shared" si="49"/>
        <v>0</v>
      </c>
      <c r="Q10" s="22"/>
      <c r="R10" s="22">
        <f t="shared" si="4"/>
        <v>0</v>
      </c>
      <c r="S10" s="22">
        <f t="shared" si="50"/>
        <v>0</v>
      </c>
      <c r="T10" s="22">
        <v>2</v>
      </c>
      <c r="U10" s="22">
        <f t="shared" si="5"/>
        <v>2</v>
      </c>
      <c r="V10" s="22">
        <f t="shared" si="51"/>
        <v>0</v>
      </c>
      <c r="W10" s="22">
        <v>1</v>
      </c>
      <c r="X10" s="22">
        <f t="shared" si="6"/>
        <v>2</v>
      </c>
      <c r="Y10" s="22">
        <f t="shared" si="52"/>
        <v>0</v>
      </c>
      <c r="Z10" s="22"/>
      <c r="AA10" s="22">
        <f t="shared" si="7"/>
        <v>0</v>
      </c>
      <c r="AB10" s="22">
        <f t="shared" si="53"/>
        <v>0</v>
      </c>
      <c r="AC10" s="22"/>
      <c r="AD10" s="22">
        <f t="shared" si="8"/>
        <v>0</v>
      </c>
      <c r="AE10" s="22">
        <f t="shared" si="54"/>
        <v>0</v>
      </c>
      <c r="AF10" s="22"/>
      <c r="AG10" s="22">
        <f t="shared" si="9"/>
        <v>0</v>
      </c>
      <c r="AH10" s="22">
        <f t="shared" si="55"/>
        <v>0</v>
      </c>
      <c r="AI10" s="22"/>
      <c r="AJ10" s="22">
        <f t="shared" si="10"/>
        <v>0</v>
      </c>
      <c r="AK10" s="22">
        <f t="shared" si="56"/>
        <v>0</v>
      </c>
      <c r="AL10" s="22">
        <v>2</v>
      </c>
      <c r="AM10" s="22">
        <f t="shared" si="11"/>
        <v>0</v>
      </c>
      <c r="AN10" s="22">
        <f t="shared" si="57"/>
        <v>0</v>
      </c>
      <c r="AO10" s="22"/>
      <c r="AP10" s="22">
        <f t="shared" si="12"/>
        <v>0</v>
      </c>
      <c r="AQ10" s="22">
        <f t="shared" si="58"/>
        <v>0</v>
      </c>
      <c r="AR10" s="22"/>
      <c r="AS10" s="22">
        <f t="shared" si="13"/>
        <v>0</v>
      </c>
      <c r="AT10" s="22">
        <f t="shared" si="59"/>
        <v>0</v>
      </c>
      <c r="AU10" s="22"/>
      <c r="AV10" s="22">
        <f t="shared" si="14"/>
        <v>0</v>
      </c>
      <c r="AW10" s="22">
        <f t="shared" si="60"/>
        <v>0</v>
      </c>
      <c r="AX10" s="22"/>
      <c r="AY10" s="22">
        <f t="shared" si="15"/>
        <v>0</v>
      </c>
      <c r="AZ10" s="22">
        <f t="shared" si="61"/>
        <v>0</v>
      </c>
      <c r="BA10" s="22"/>
      <c r="BB10" s="22">
        <f t="shared" si="16"/>
        <v>0</v>
      </c>
      <c r="BC10" s="22">
        <f t="shared" si="62"/>
        <v>0</v>
      </c>
      <c r="BD10" s="22"/>
      <c r="BE10" s="22">
        <f t="shared" si="17"/>
        <v>0</v>
      </c>
      <c r="BF10" s="22">
        <f t="shared" si="63"/>
        <v>0</v>
      </c>
      <c r="BG10" s="22">
        <v>2</v>
      </c>
      <c r="BH10" s="22">
        <f t="shared" si="18"/>
        <v>0</v>
      </c>
      <c r="BI10" s="22">
        <f t="shared" si="64"/>
        <v>0</v>
      </c>
      <c r="BJ10" s="22"/>
      <c r="BK10" s="22">
        <f t="shared" si="19"/>
        <v>0</v>
      </c>
      <c r="BL10" s="22">
        <f t="shared" si="65"/>
        <v>0</v>
      </c>
      <c r="BM10" s="22"/>
      <c r="BN10" s="22">
        <f t="shared" si="20"/>
        <v>0</v>
      </c>
      <c r="BO10" s="22">
        <f t="shared" si="66"/>
        <v>0</v>
      </c>
      <c r="BP10" s="22"/>
      <c r="BQ10" s="22">
        <f t="shared" si="21"/>
        <v>0</v>
      </c>
      <c r="BR10" s="22">
        <f t="shared" si="67"/>
        <v>0</v>
      </c>
      <c r="BS10" s="22"/>
      <c r="BT10" s="22">
        <f t="shared" si="22"/>
        <v>0</v>
      </c>
      <c r="BU10" s="22">
        <f t="shared" si="68"/>
        <v>0</v>
      </c>
      <c r="BV10" s="22"/>
      <c r="BW10" s="22">
        <f t="shared" si="23"/>
        <v>0</v>
      </c>
      <c r="BX10" s="22">
        <f t="shared" si="69"/>
        <v>0</v>
      </c>
      <c r="BY10" s="22"/>
      <c r="BZ10" s="22">
        <f t="shared" si="24"/>
        <v>0</v>
      </c>
      <c r="CA10" s="22">
        <f t="shared" si="70"/>
        <v>0</v>
      </c>
      <c r="CB10" s="22"/>
      <c r="CC10" s="22">
        <f t="shared" si="25"/>
        <v>0</v>
      </c>
      <c r="CD10" s="22">
        <f t="shared" si="71"/>
        <v>0</v>
      </c>
      <c r="CE10" s="22"/>
      <c r="CF10" s="22">
        <f t="shared" si="26"/>
        <v>0</v>
      </c>
      <c r="CG10" s="22">
        <f t="shared" si="72"/>
        <v>0</v>
      </c>
      <c r="CH10" s="22"/>
      <c r="CI10" s="22">
        <f t="shared" si="27"/>
        <v>0</v>
      </c>
      <c r="CJ10" s="22">
        <f t="shared" si="73"/>
        <v>0</v>
      </c>
      <c r="CK10" s="22"/>
      <c r="CL10" s="22">
        <f t="shared" si="28"/>
        <v>0</v>
      </c>
      <c r="CM10" s="22">
        <f t="shared" si="74"/>
        <v>0</v>
      </c>
      <c r="CN10" s="22"/>
      <c r="CO10" s="22">
        <f t="shared" si="29"/>
        <v>0</v>
      </c>
      <c r="CP10" s="22">
        <f t="shared" si="75"/>
        <v>0</v>
      </c>
      <c r="CQ10" s="22"/>
      <c r="CR10" s="22">
        <f t="shared" si="30"/>
        <v>0</v>
      </c>
      <c r="CS10" s="22">
        <f t="shared" si="76"/>
        <v>0</v>
      </c>
      <c r="CT10" s="22"/>
      <c r="CU10" s="22">
        <f t="shared" si="31"/>
        <v>0</v>
      </c>
      <c r="CV10" s="22">
        <f t="shared" si="77"/>
        <v>0</v>
      </c>
      <c r="CW10" s="22"/>
      <c r="CX10" s="22">
        <f t="shared" si="32"/>
        <v>0</v>
      </c>
      <c r="CY10" s="22">
        <f t="shared" si="78"/>
        <v>0</v>
      </c>
      <c r="CZ10" s="22"/>
      <c r="DA10" s="22">
        <f t="shared" si="33"/>
        <v>0</v>
      </c>
      <c r="DB10" s="22">
        <f t="shared" si="79"/>
        <v>0</v>
      </c>
      <c r="DC10" s="22"/>
      <c r="DD10" s="22">
        <f t="shared" si="34"/>
        <v>0</v>
      </c>
      <c r="DE10" s="22">
        <f t="shared" si="80"/>
        <v>0</v>
      </c>
      <c r="DF10" s="22"/>
      <c r="DG10" s="22">
        <f t="shared" si="35"/>
        <v>0</v>
      </c>
      <c r="DH10" s="22">
        <f t="shared" si="81"/>
        <v>0</v>
      </c>
      <c r="DI10" s="22"/>
      <c r="DJ10" s="22">
        <f t="shared" si="36"/>
        <v>0</v>
      </c>
      <c r="DK10" s="22">
        <f t="shared" si="82"/>
        <v>0</v>
      </c>
      <c r="DL10" s="22"/>
      <c r="DM10" s="22">
        <f t="shared" si="37"/>
        <v>0</v>
      </c>
      <c r="DN10" s="22">
        <f t="shared" si="83"/>
        <v>0</v>
      </c>
      <c r="DO10" s="22"/>
      <c r="DP10" s="22">
        <f t="shared" si="38"/>
        <v>0</v>
      </c>
      <c r="DQ10" s="22">
        <f t="shared" si="84"/>
        <v>0</v>
      </c>
      <c r="DR10" s="22"/>
      <c r="DS10" s="22">
        <f t="shared" si="39"/>
        <v>0</v>
      </c>
      <c r="DT10" s="22">
        <f t="shared" si="85"/>
        <v>0</v>
      </c>
      <c r="DU10" s="22"/>
      <c r="DV10" s="22">
        <f t="shared" si="40"/>
        <v>0</v>
      </c>
      <c r="DW10" s="22">
        <f t="shared" si="86"/>
        <v>0</v>
      </c>
      <c r="DX10" s="22"/>
      <c r="DY10" s="22">
        <f t="shared" si="41"/>
        <v>0</v>
      </c>
      <c r="DZ10" s="22">
        <f t="shared" si="87"/>
        <v>0</v>
      </c>
      <c r="EA10" s="22"/>
      <c r="EB10" s="22">
        <f t="shared" si="42"/>
        <v>0</v>
      </c>
      <c r="EC10" s="22">
        <f t="shared" si="88"/>
        <v>0</v>
      </c>
      <c r="ED10" s="22"/>
      <c r="EE10" s="22">
        <f t="shared" si="43"/>
        <v>0</v>
      </c>
      <c r="EF10" s="22">
        <f t="shared" si="89"/>
        <v>0</v>
      </c>
      <c r="EG10" s="22"/>
      <c r="EH10" s="22">
        <f t="shared" si="44"/>
        <v>0</v>
      </c>
      <c r="EI10" s="22">
        <f t="shared" si="90"/>
        <v>0</v>
      </c>
      <c r="EJ10" s="22"/>
      <c r="EK10" s="22">
        <f t="shared" si="45"/>
        <v>0</v>
      </c>
      <c r="EL10" s="22">
        <f t="shared" si="91"/>
        <v>0</v>
      </c>
      <c r="EM10" s="22"/>
      <c r="EN10" s="22">
        <f t="shared" si="46"/>
        <v>0</v>
      </c>
      <c r="EO10" s="22">
        <f t="shared" si="92"/>
        <v>0</v>
      </c>
    </row>
    <row r="11" spans="1:145">
      <c r="A11" s="15">
        <v>6</v>
      </c>
      <c r="B11" s="17" t="s">
        <v>377</v>
      </c>
      <c r="C11" s="16" t="s">
        <v>378</v>
      </c>
      <c r="D11" s="17" t="s">
        <v>379</v>
      </c>
      <c r="E11" s="18" t="s">
        <v>380</v>
      </c>
      <c r="F11" s="19">
        <f t="shared" si="0"/>
        <v>32</v>
      </c>
      <c r="G11" s="20"/>
      <c r="H11" s="21">
        <v>2</v>
      </c>
      <c r="I11" s="22">
        <f t="shared" si="1"/>
        <v>2</v>
      </c>
      <c r="J11" s="22">
        <f t="shared" si="47"/>
        <v>0</v>
      </c>
      <c r="K11" s="22">
        <v>2</v>
      </c>
      <c r="L11" s="22">
        <f t="shared" si="2"/>
        <v>12</v>
      </c>
      <c r="M11" s="22">
        <f t="shared" si="48"/>
        <v>0</v>
      </c>
      <c r="N11" s="22"/>
      <c r="O11" s="22">
        <f t="shared" si="3"/>
        <v>0</v>
      </c>
      <c r="P11" s="22">
        <f t="shared" si="49"/>
        <v>0</v>
      </c>
      <c r="Q11" s="22"/>
      <c r="R11" s="22">
        <f t="shared" si="4"/>
        <v>0</v>
      </c>
      <c r="S11" s="22">
        <f t="shared" si="50"/>
        <v>0</v>
      </c>
      <c r="T11" s="22"/>
      <c r="U11" s="22">
        <f t="shared" si="5"/>
        <v>0</v>
      </c>
      <c r="V11" s="22">
        <f t="shared" si="51"/>
        <v>0</v>
      </c>
      <c r="W11" s="22">
        <v>1</v>
      </c>
      <c r="X11" s="22">
        <f t="shared" si="6"/>
        <v>2</v>
      </c>
      <c r="Y11" s="22">
        <f t="shared" si="52"/>
        <v>0</v>
      </c>
      <c r="Z11" s="22"/>
      <c r="AA11" s="22">
        <f t="shared" si="7"/>
        <v>0</v>
      </c>
      <c r="AB11" s="22">
        <f t="shared" si="53"/>
        <v>0</v>
      </c>
      <c r="AC11" s="22"/>
      <c r="AD11" s="22">
        <f t="shared" si="8"/>
        <v>0</v>
      </c>
      <c r="AE11" s="22">
        <f t="shared" si="54"/>
        <v>0</v>
      </c>
      <c r="AF11" s="22"/>
      <c r="AG11" s="22">
        <f t="shared" si="9"/>
        <v>0</v>
      </c>
      <c r="AH11" s="22">
        <f t="shared" si="55"/>
        <v>0</v>
      </c>
      <c r="AI11" s="22">
        <v>1</v>
      </c>
      <c r="AJ11" s="22">
        <f t="shared" si="10"/>
        <v>1</v>
      </c>
      <c r="AK11" s="22">
        <f t="shared" si="56"/>
        <v>0</v>
      </c>
      <c r="AL11" s="22">
        <v>2</v>
      </c>
      <c r="AM11" s="22">
        <f t="shared" si="11"/>
        <v>0</v>
      </c>
      <c r="AN11" s="22">
        <f t="shared" si="57"/>
        <v>0</v>
      </c>
      <c r="AO11" s="22"/>
      <c r="AP11" s="22">
        <f t="shared" si="12"/>
        <v>0</v>
      </c>
      <c r="AQ11" s="22">
        <f t="shared" si="58"/>
        <v>0</v>
      </c>
      <c r="AR11" s="22">
        <v>1</v>
      </c>
      <c r="AS11" s="22">
        <f t="shared" si="13"/>
        <v>0</v>
      </c>
      <c r="AT11" s="22">
        <f t="shared" si="59"/>
        <v>0</v>
      </c>
      <c r="AU11" s="22">
        <v>1</v>
      </c>
      <c r="AV11" s="22">
        <f t="shared" si="14"/>
        <v>0</v>
      </c>
      <c r="AW11" s="22">
        <f t="shared" si="60"/>
        <v>0</v>
      </c>
      <c r="AX11" s="22"/>
      <c r="AY11" s="22">
        <f t="shared" si="15"/>
        <v>0</v>
      </c>
      <c r="AZ11" s="22">
        <f t="shared" si="61"/>
        <v>0</v>
      </c>
      <c r="BA11" s="22">
        <v>1</v>
      </c>
      <c r="BB11" s="22">
        <f t="shared" si="16"/>
        <v>1</v>
      </c>
      <c r="BC11" s="22">
        <f t="shared" si="62"/>
        <v>0</v>
      </c>
      <c r="BD11" s="22">
        <v>2</v>
      </c>
      <c r="BE11" s="22">
        <f t="shared" si="17"/>
        <v>0</v>
      </c>
      <c r="BF11" s="22">
        <f t="shared" si="63"/>
        <v>0</v>
      </c>
      <c r="BG11" s="22">
        <v>2</v>
      </c>
      <c r="BH11" s="22">
        <f t="shared" si="18"/>
        <v>0</v>
      </c>
      <c r="BI11" s="22">
        <f t="shared" si="64"/>
        <v>0</v>
      </c>
      <c r="BJ11" s="22"/>
      <c r="BK11" s="22">
        <f t="shared" si="19"/>
        <v>0</v>
      </c>
      <c r="BL11" s="22">
        <f t="shared" si="65"/>
        <v>0</v>
      </c>
      <c r="BM11" s="22">
        <v>1</v>
      </c>
      <c r="BN11" s="22">
        <f t="shared" si="20"/>
        <v>0</v>
      </c>
      <c r="BO11" s="22">
        <f t="shared" si="66"/>
        <v>0</v>
      </c>
      <c r="BP11" s="22">
        <v>1</v>
      </c>
      <c r="BQ11" s="22">
        <f t="shared" si="21"/>
        <v>0</v>
      </c>
      <c r="BR11" s="22">
        <f t="shared" si="67"/>
        <v>0</v>
      </c>
      <c r="BS11" s="22"/>
      <c r="BT11" s="22">
        <f t="shared" si="22"/>
        <v>0</v>
      </c>
      <c r="BU11" s="22">
        <f t="shared" si="68"/>
        <v>0</v>
      </c>
      <c r="BV11" s="22">
        <v>1</v>
      </c>
      <c r="BW11" s="22">
        <f t="shared" si="23"/>
        <v>2</v>
      </c>
      <c r="BX11" s="22">
        <f t="shared" si="69"/>
        <v>0</v>
      </c>
      <c r="BY11" s="22">
        <v>1</v>
      </c>
      <c r="BZ11" s="22">
        <f t="shared" si="24"/>
        <v>0</v>
      </c>
      <c r="CA11" s="22">
        <f t="shared" si="70"/>
        <v>0</v>
      </c>
      <c r="CB11" s="22">
        <v>1</v>
      </c>
      <c r="CC11" s="22">
        <f t="shared" si="25"/>
        <v>0</v>
      </c>
      <c r="CD11" s="22">
        <f t="shared" si="71"/>
        <v>0</v>
      </c>
      <c r="CE11" s="22">
        <v>1</v>
      </c>
      <c r="CF11" s="22">
        <f t="shared" si="26"/>
        <v>0</v>
      </c>
      <c r="CG11" s="22">
        <f t="shared" si="72"/>
        <v>0</v>
      </c>
      <c r="CH11" s="22">
        <v>1</v>
      </c>
      <c r="CI11" s="22">
        <f t="shared" si="27"/>
        <v>0</v>
      </c>
      <c r="CJ11" s="22">
        <f t="shared" si="73"/>
        <v>0</v>
      </c>
      <c r="CK11" s="22">
        <v>1</v>
      </c>
      <c r="CL11" s="22">
        <f t="shared" si="28"/>
        <v>0</v>
      </c>
      <c r="CM11" s="22">
        <f t="shared" si="74"/>
        <v>0</v>
      </c>
      <c r="CN11" s="22">
        <v>1</v>
      </c>
      <c r="CO11" s="22">
        <f t="shared" si="29"/>
        <v>0</v>
      </c>
      <c r="CP11" s="22">
        <f t="shared" si="75"/>
        <v>0</v>
      </c>
      <c r="CQ11" s="22">
        <v>1</v>
      </c>
      <c r="CR11" s="22">
        <f t="shared" si="30"/>
        <v>0</v>
      </c>
      <c r="CS11" s="22">
        <f t="shared" si="76"/>
        <v>0</v>
      </c>
      <c r="CT11" s="22">
        <v>1</v>
      </c>
      <c r="CU11" s="22">
        <f t="shared" si="31"/>
        <v>0</v>
      </c>
      <c r="CV11" s="22">
        <f t="shared" si="77"/>
        <v>0</v>
      </c>
      <c r="CW11" s="22"/>
      <c r="CX11" s="22">
        <f t="shared" si="32"/>
        <v>0</v>
      </c>
      <c r="CY11" s="22">
        <f t="shared" si="78"/>
        <v>0</v>
      </c>
      <c r="CZ11" s="22"/>
      <c r="DA11" s="22">
        <f t="shared" si="33"/>
        <v>0</v>
      </c>
      <c r="DB11" s="22">
        <f t="shared" si="79"/>
        <v>0</v>
      </c>
      <c r="DC11" s="22">
        <v>1</v>
      </c>
      <c r="DD11" s="22">
        <f t="shared" si="34"/>
        <v>0</v>
      </c>
      <c r="DE11" s="22">
        <f t="shared" si="80"/>
        <v>0</v>
      </c>
      <c r="DF11" s="22">
        <v>2</v>
      </c>
      <c r="DG11" s="22">
        <f t="shared" si="35"/>
        <v>2</v>
      </c>
      <c r="DH11" s="22">
        <f t="shared" si="81"/>
        <v>0</v>
      </c>
      <c r="DI11" s="22"/>
      <c r="DJ11" s="22">
        <f t="shared" si="36"/>
        <v>0</v>
      </c>
      <c r="DK11" s="22">
        <f t="shared" si="82"/>
        <v>0</v>
      </c>
      <c r="DL11" s="22">
        <v>1</v>
      </c>
      <c r="DM11" s="22">
        <f t="shared" si="37"/>
        <v>0</v>
      </c>
      <c r="DN11" s="22">
        <f t="shared" si="83"/>
        <v>0</v>
      </c>
      <c r="DO11" s="22">
        <v>1</v>
      </c>
      <c r="DP11" s="22">
        <f t="shared" si="38"/>
        <v>0</v>
      </c>
      <c r="DQ11" s="22">
        <f t="shared" si="84"/>
        <v>0</v>
      </c>
      <c r="DR11" s="22">
        <v>1</v>
      </c>
      <c r="DS11" s="22">
        <f t="shared" si="39"/>
        <v>0</v>
      </c>
      <c r="DT11" s="22">
        <f t="shared" si="85"/>
        <v>0</v>
      </c>
      <c r="DU11" s="22">
        <v>2</v>
      </c>
      <c r="DV11" s="22">
        <f t="shared" si="40"/>
        <v>2</v>
      </c>
      <c r="DW11" s="22">
        <f t="shared" si="86"/>
        <v>0</v>
      </c>
      <c r="DX11" s="22">
        <v>2</v>
      </c>
      <c r="DY11" s="22">
        <f t="shared" si="41"/>
        <v>2</v>
      </c>
      <c r="DZ11" s="22">
        <f t="shared" si="87"/>
        <v>0</v>
      </c>
      <c r="EA11" s="22">
        <v>2</v>
      </c>
      <c r="EB11" s="22">
        <f t="shared" si="42"/>
        <v>6</v>
      </c>
      <c r="EC11" s="22">
        <f t="shared" si="88"/>
        <v>0</v>
      </c>
      <c r="ED11" s="22"/>
      <c r="EE11" s="22">
        <f t="shared" si="43"/>
        <v>0</v>
      </c>
      <c r="EF11" s="22">
        <f t="shared" si="89"/>
        <v>0</v>
      </c>
      <c r="EG11" s="22">
        <v>1</v>
      </c>
      <c r="EH11" s="22">
        <f t="shared" si="44"/>
        <v>0</v>
      </c>
      <c r="EI11" s="22">
        <f t="shared" si="90"/>
        <v>0</v>
      </c>
      <c r="EJ11" s="22"/>
      <c r="EK11" s="22">
        <f t="shared" si="45"/>
        <v>0</v>
      </c>
      <c r="EL11" s="22">
        <f t="shared" si="91"/>
        <v>0</v>
      </c>
      <c r="EM11" s="22"/>
      <c r="EN11" s="22">
        <f t="shared" si="46"/>
        <v>0</v>
      </c>
      <c r="EO11" s="22">
        <f t="shared" si="92"/>
        <v>0</v>
      </c>
    </row>
    <row r="12" spans="1:145">
      <c r="A12" s="15">
        <v>7</v>
      </c>
      <c r="B12" s="17" t="s">
        <v>515</v>
      </c>
      <c r="C12" s="17" t="s">
        <v>382</v>
      </c>
      <c r="D12" s="17" t="s">
        <v>516</v>
      </c>
      <c r="E12" s="18" t="s">
        <v>384</v>
      </c>
      <c r="F12" s="19">
        <f t="shared" si="0"/>
        <v>13</v>
      </c>
      <c r="G12" s="20"/>
      <c r="H12" s="21">
        <v>1</v>
      </c>
      <c r="I12" s="22">
        <f t="shared" si="1"/>
        <v>1</v>
      </c>
      <c r="J12" s="22">
        <f t="shared" si="47"/>
        <v>0</v>
      </c>
      <c r="K12" s="22">
        <v>1</v>
      </c>
      <c r="L12" s="22">
        <f t="shared" si="2"/>
        <v>6</v>
      </c>
      <c r="M12" s="22">
        <f t="shared" si="48"/>
        <v>0</v>
      </c>
      <c r="N12" s="22"/>
      <c r="O12" s="22">
        <f t="shared" si="3"/>
        <v>0</v>
      </c>
      <c r="P12" s="22">
        <f t="shared" si="49"/>
        <v>0</v>
      </c>
      <c r="Q12" s="22"/>
      <c r="R12" s="22">
        <f t="shared" si="4"/>
        <v>0</v>
      </c>
      <c r="S12" s="22">
        <f t="shared" si="50"/>
        <v>0</v>
      </c>
      <c r="T12" s="22">
        <v>1</v>
      </c>
      <c r="U12" s="22">
        <f t="shared" si="5"/>
        <v>1</v>
      </c>
      <c r="V12" s="22">
        <f t="shared" si="51"/>
        <v>0</v>
      </c>
      <c r="W12" s="22"/>
      <c r="X12" s="22">
        <f t="shared" si="6"/>
        <v>0</v>
      </c>
      <c r="Y12" s="22">
        <f t="shared" si="52"/>
        <v>0</v>
      </c>
      <c r="Z12" s="22"/>
      <c r="AA12" s="22">
        <f t="shared" si="7"/>
        <v>0</v>
      </c>
      <c r="AB12" s="22">
        <f t="shared" si="53"/>
        <v>0</v>
      </c>
      <c r="AC12" s="22">
        <v>1</v>
      </c>
      <c r="AD12" s="22">
        <f t="shared" si="8"/>
        <v>1</v>
      </c>
      <c r="AE12" s="22">
        <f t="shared" si="54"/>
        <v>0</v>
      </c>
      <c r="AF12" s="22">
        <v>1</v>
      </c>
      <c r="AG12" s="22">
        <f t="shared" si="9"/>
        <v>4</v>
      </c>
      <c r="AH12" s="22">
        <f t="shared" si="55"/>
        <v>0</v>
      </c>
      <c r="AI12" s="22"/>
      <c r="AJ12" s="22">
        <f t="shared" si="10"/>
        <v>0</v>
      </c>
      <c r="AK12" s="22">
        <f t="shared" si="56"/>
        <v>0</v>
      </c>
      <c r="AL12" s="22"/>
      <c r="AM12" s="22">
        <f t="shared" si="11"/>
        <v>0</v>
      </c>
      <c r="AN12" s="22">
        <f t="shared" si="57"/>
        <v>0</v>
      </c>
      <c r="AO12" s="22"/>
      <c r="AP12" s="22">
        <f t="shared" si="12"/>
        <v>0</v>
      </c>
      <c r="AQ12" s="22">
        <f t="shared" si="58"/>
        <v>0</v>
      </c>
      <c r="AR12" s="22"/>
      <c r="AS12" s="22">
        <f t="shared" si="13"/>
        <v>0</v>
      </c>
      <c r="AT12" s="22">
        <f t="shared" si="59"/>
        <v>0</v>
      </c>
      <c r="AU12" s="22"/>
      <c r="AV12" s="22">
        <f t="shared" si="14"/>
        <v>0</v>
      </c>
      <c r="AW12" s="22">
        <f t="shared" si="60"/>
        <v>0</v>
      </c>
      <c r="AX12" s="22"/>
      <c r="AY12" s="22">
        <f t="shared" si="15"/>
        <v>0</v>
      </c>
      <c r="AZ12" s="22">
        <f t="shared" si="61"/>
        <v>0</v>
      </c>
      <c r="BA12" s="22"/>
      <c r="BB12" s="22">
        <f t="shared" si="16"/>
        <v>0</v>
      </c>
      <c r="BC12" s="22">
        <f t="shared" si="62"/>
        <v>0</v>
      </c>
      <c r="BD12" s="22"/>
      <c r="BE12" s="22">
        <f t="shared" si="17"/>
        <v>0</v>
      </c>
      <c r="BF12" s="22">
        <f t="shared" si="63"/>
        <v>0</v>
      </c>
      <c r="BG12" s="22"/>
      <c r="BH12" s="22">
        <f t="shared" si="18"/>
        <v>0</v>
      </c>
      <c r="BI12" s="22">
        <f t="shared" si="64"/>
        <v>0</v>
      </c>
      <c r="BJ12" s="22"/>
      <c r="BK12" s="22">
        <f t="shared" si="19"/>
        <v>0</v>
      </c>
      <c r="BL12" s="22">
        <f t="shared" si="65"/>
        <v>0</v>
      </c>
      <c r="BM12" s="22"/>
      <c r="BN12" s="22">
        <f t="shared" si="20"/>
        <v>0</v>
      </c>
      <c r="BO12" s="22">
        <f t="shared" si="66"/>
        <v>0</v>
      </c>
      <c r="BP12" s="22"/>
      <c r="BQ12" s="22">
        <f t="shared" si="21"/>
        <v>0</v>
      </c>
      <c r="BR12" s="22">
        <f t="shared" si="67"/>
        <v>0</v>
      </c>
      <c r="BS12" s="22"/>
      <c r="BT12" s="22">
        <f t="shared" si="22"/>
        <v>0</v>
      </c>
      <c r="BU12" s="22">
        <f t="shared" si="68"/>
        <v>0</v>
      </c>
      <c r="BV12" s="22"/>
      <c r="BW12" s="22">
        <f t="shared" si="23"/>
        <v>0</v>
      </c>
      <c r="BX12" s="22">
        <f t="shared" si="69"/>
        <v>0</v>
      </c>
      <c r="BY12" s="22"/>
      <c r="BZ12" s="22">
        <f t="shared" si="24"/>
        <v>0</v>
      </c>
      <c r="CA12" s="22">
        <f t="shared" si="70"/>
        <v>0</v>
      </c>
      <c r="CB12" s="22"/>
      <c r="CC12" s="22">
        <f t="shared" si="25"/>
        <v>0</v>
      </c>
      <c r="CD12" s="22">
        <f t="shared" si="71"/>
        <v>0</v>
      </c>
      <c r="CE12" s="22"/>
      <c r="CF12" s="22">
        <f t="shared" si="26"/>
        <v>0</v>
      </c>
      <c r="CG12" s="22">
        <f t="shared" si="72"/>
        <v>0</v>
      </c>
      <c r="CH12" s="22"/>
      <c r="CI12" s="22">
        <f t="shared" si="27"/>
        <v>0</v>
      </c>
      <c r="CJ12" s="22">
        <f t="shared" si="73"/>
        <v>0</v>
      </c>
      <c r="CK12" s="22"/>
      <c r="CL12" s="22">
        <f t="shared" si="28"/>
        <v>0</v>
      </c>
      <c r="CM12" s="22">
        <f t="shared" si="74"/>
        <v>0</v>
      </c>
      <c r="CN12" s="22"/>
      <c r="CO12" s="22">
        <f t="shared" si="29"/>
        <v>0</v>
      </c>
      <c r="CP12" s="22">
        <f t="shared" si="75"/>
        <v>0</v>
      </c>
      <c r="CQ12" s="22"/>
      <c r="CR12" s="22">
        <f t="shared" si="30"/>
        <v>0</v>
      </c>
      <c r="CS12" s="22">
        <f t="shared" si="76"/>
        <v>0</v>
      </c>
      <c r="CT12" s="22"/>
      <c r="CU12" s="22">
        <f t="shared" si="31"/>
        <v>0</v>
      </c>
      <c r="CV12" s="22">
        <f t="shared" si="77"/>
        <v>0</v>
      </c>
      <c r="CW12" s="22"/>
      <c r="CX12" s="22">
        <f t="shared" si="32"/>
        <v>0</v>
      </c>
      <c r="CY12" s="22">
        <f t="shared" si="78"/>
        <v>0</v>
      </c>
      <c r="CZ12" s="22"/>
      <c r="DA12" s="22">
        <f t="shared" si="33"/>
        <v>0</v>
      </c>
      <c r="DB12" s="22">
        <f t="shared" si="79"/>
        <v>0</v>
      </c>
      <c r="DC12" s="22"/>
      <c r="DD12" s="22">
        <f t="shared" si="34"/>
        <v>0</v>
      </c>
      <c r="DE12" s="22">
        <f t="shared" si="80"/>
        <v>0</v>
      </c>
      <c r="DF12" s="22"/>
      <c r="DG12" s="22">
        <f t="shared" si="35"/>
        <v>0</v>
      </c>
      <c r="DH12" s="22">
        <f t="shared" si="81"/>
        <v>0</v>
      </c>
      <c r="DI12" s="22"/>
      <c r="DJ12" s="22">
        <f t="shared" si="36"/>
        <v>0</v>
      </c>
      <c r="DK12" s="22">
        <f t="shared" si="82"/>
        <v>0</v>
      </c>
      <c r="DL12" s="22"/>
      <c r="DM12" s="22">
        <f t="shared" si="37"/>
        <v>0</v>
      </c>
      <c r="DN12" s="22">
        <f t="shared" si="83"/>
        <v>0</v>
      </c>
      <c r="DO12" s="22"/>
      <c r="DP12" s="22">
        <f t="shared" si="38"/>
        <v>0</v>
      </c>
      <c r="DQ12" s="22">
        <f t="shared" si="84"/>
        <v>0</v>
      </c>
      <c r="DR12" s="22"/>
      <c r="DS12" s="22">
        <f t="shared" si="39"/>
        <v>0</v>
      </c>
      <c r="DT12" s="22">
        <f t="shared" si="85"/>
        <v>0</v>
      </c>
      <c r="DU12" s="22"/>
      <c r="DV12" s="22">
        <f t="shared" si="40"/>
        <v>0</v>
      </c>
      <c r="DW12" s="22">
        <f t="shared" si="86"/>
        <v>0</v>
      </c>
      <c r="DX12" s="22"/>
      <c r="DY12" s="22">
        <f t="shared" si="41"/>
        <v>0</v>
      </c>
      <c r="DZ12" s="22">
        <f t="shared" si="87"/>
        <v>0</v>
      </c>
      <c r="EA12" s="22"/>
      <c r="EB12" s="22">
        <f t="shared" si="42"/>
        <v>0</v>
      </c>
      <c r="EC12" s="22">
        <f t="shared" si="88"/>
        <v>0</v>
      </c>
      <c r="ED12" s="22"/>
      <c r="EE12" s="22">
        <f t="shared" si="43"/>
        <v>0</v>
      </c>
      <c r="EF12" s="22">
        <f t="shared" si="89"/>
        <v>0</v>
      </c>
      <c r="EG12" s="22"/>
      <c r="EH12" s="22">
        <f t="shared" si="44"/>
        <v>0</v>
      </c>
      <c r="EI12" s="22">
        <f t="shared" si="90"/>
        <v>0</v>
      </c>
      <c r="EJ12" s="22"/>
      <c r="EK12" s="22">
        <f t="shared" si="45"/>
        <v>0</v>
      </c>
      <c r="EL12" s="22">
        <f t="shared" si="91"/>
        <v>0</v>
      </c>
      <c r="EM12" s="22"/>
      <c r="EN12" s="22">
        <f t="shared" si="46"/>
        <v>0</v>
      </c>
      <c r="EO12" s="22">
        <f t="shared" si="92"/>
        <v>0</v>
      </c>
    </row>
    <row r="13" spans="1:145">
      <c r="A13" s="15">
        <v>8</v>
      </c>
      <c r="B13" s="16" t="s">
        <v>381</v>
      </c>
      <c r="C13" s="17" t="s">
        <v>382</v>
      </c>
      <c r="D13" s="23" t="s">
        <v>383</v>
      </c>
      <c r="E13" s="18" t="s">
        <v>384</v>
      </c>
      <c r="F13" s="19">
        <f t="shared" si="0"/>
        <v>56</v>
      </c>
      <c r="G13" s="20"/>
      <c r="H13" s="21">
        <v>2</v>
      </c>
      <c r="I13" s="22">
        <f t="shared" si="1"/>
        <v>2</v>
      </c>
      <c r="J13" s="22">
        <f t="shared" si="47"/>
        <v>0</v>
      </c>
      <c r="K13" s="22">
        <v>2</v>
      </c>
      <c r="L13" s="22">
        <f t="shared" si="2"/>
        <v>12</v>
      </c>
      <c r="M13" s="22">
        <f t="shared" si="48"/>
        <v>0</v>
      </c>
      <c r="N13" s="22">
        <v>1</v>
      </c>
      <c r="O13" s="22">
        <f t="shared" si="3"/>
        <v>8</v>
      </c>
      <c r="P13" s="22">
        <f t="shared" si="49"/>
        <v>0</v>
      </c>
      <c r="Q13" s="22">
        <v>1</v>
      </c>
      <c r="R13" s="22">
        <f t="shared" si="4"/>
        <v>3</v>
      </c>
      <c r="S13" s="22">
        <f t="shared" si="50"/>
        <v>0</v>
      </c>
      <c r="T13" s="22">
        <v>2</v>
      </c>
      <c r="U13" s="22">
        <f t="shared" si="5"/>
        <v>2</v>
      </c>
      <c r="V13" s="22">
        <f t="shared" si="51"/>
        <v>0</v>
      </c>
      <c r="W13" s="22">
        <v>1</v>
      </c>
      <c r="X13" s="22">
        <f t="shared" si="6"/>
        <v>2</v>
      </c>
      <c r="Y13" s="22">
        <f t="shared" si="52"/>
        <v>0</v>
      </c>
      <c r="Z13" s="22">
        <v>1</v>
      </c>
      <c r="AA13" s="22">
        <f t="shared" si="7"/>
        <v>1</v>
      </c>
      <c r="AB13" s="22">
        <f t="shared" si="53"/>
        <v>0</v>
      </c>
      <c r="AC13" s="22">
        <v>2</v>
      </c>
      <c r="AD13" s="22">
        <f t="shared" si="8"/>
        <v>2</v>
      </c>
      <c r="AE13" s="22">
        <f t="shared" si="54"/>
        <v>0</v>
      </c>
      <c r="AF13" s="22">
        <v>2</v>
      </c>
      <c r="AG13" s="22">
        <f t="shared" si="9"/>
        <v>8</v>
      </c>
      <c r="AH13" s="22">
        <f t="shared" si="55"/>
        <v>0</v>
      </c>
      <c r="AI13" s="22">
        <v>1</v>
      </c>
      <c r="AJ13" s="22">
        <f t="shared" si="10"/>
        <v>1</v>
      </c>
      <c r="AK13" s="22">
        <f t="shared" si="56"/>
        <v>0</v>
      </c>
      <c r="AL13" s="22"/>
      <c r="AM13" s="22">
        <f t="shared" si="11"/>
        <v>0</v>
      </c>
      <c r="AN13" s="22">
        <f t="shared" si="57"/>
        <v>0</v>
      </c>
      <c r="AO13" s="22"/>
      <c r="AP13" s="22">
        <f t="shared" si="12"/>
        <v>0</v>
      </c>
      <c r="AQ13" s="22">
        <f t="shared" si="58"/>
        <v>0</v>
      </c>
      <c r="AR13" s="22"/>
      <c r="AS13" s="22">
        <f t="shared" si="13"/>
        <v>0</v>
      </c>
      <c r="AT13" s="22">
        <f t="shared" si="59"/>
        <v>0</v>
      </c>
      <c r="AU13" s="22"/>
      <c r="AV13" s="22">
        <f t="shared" si="14"/>
        <v>0</v>
      </c>
      <c r="AW13" s="22">
        <f t="shared" si="60"/>
        <v>0</v>
      </c>
      <c r="AX13" s="22">
        <v>2</v>
      </c>
      <c r="AY13" s="22">
        <f t="shared" si="15"/>
        <v>6</v>
      </c>
      <c r="AZ13" s="22">
        <f t="shared" si="61"/>
        <v>0</v>
      </c>
      <c r="BA13" s="22">
        <v>1</v>
      </c>
      <c r="BB13" s="22">
        <f t="shared" si="16"/>
        <v>1</v>
      </c>
      <c r="BC13" s="22">
        <f t="shared" si="62"/>
        <v>0</v>
      </c>
      <c r="BD13" s="22"/>
      <c r="BE13" s="22">
        <f t="shared" si="17"/>
        <v>0</v>
      </c>
      <c r="BF13" s="22">
        <f t="shared" si="63"/>
        <v>0</v>
      </c>
      <c r="BG13" s="22"/>
      <c r="BH13" s="22">
        <f t="shared" si="18"/>
        <v>0</v>
      </c>
      <c r="BI13" s="22">
        <f t="shared" si="64"/>
        <v>0</v>
      </c>
      <c r="BJ13" s="22"/>
      <c r="BK13" s="22">
        <f t="shared" si="19"/>
        <v>0</v>
      </c>
      <c r="BL13" s="22">
        <f t="shared" si="65"/>
        <v>0</v>
      </c>
      <c r="BM13" s="22"/>
      <c r="BN13" s="22">
        <f t="shared" si="20"/>
        <v>0</v>
      </c>
      <c r="BO13" s="22">
        <f t="shared" si="66"/>
        <v>0</v>
      </c>
      <c r="BP13" s="22"/>
      <c r="BQ13" s="22">
        <f t="shared" si="21"/>
        <v>0</v>
      </c>
      <c r="BR13" s="22">
        <f t="shared" si="67"/>
        <v>0</v>
      </c>
      <c r="BS13" s="22"/>
      <c r="BT13" s="22">
        <f t="shared" si="22"/>
        <v>0</v>
      </c>
      <c r="BU13" s="22">
        <f t="shared" si="68"/>
        <v>0</v>
      </c>
      <c r="BV13" s="22"/>
      <c r="BW13" s="22">
        <f t="shared" si="23"/>
        <v>0</v>
      </c>
      <c r="BX13" s="22">
        <f t="shared" si="69"/>
        <v>0</v>
      </c>
      <c r="BY13" s="22"/>
      <c r="BZ13" s="22">
        <f t="shared" si="24"/>
        <v>0</v>
      </c>
      <c r="CA13" s="22">
        <f t="shared" si="70"/>
        <v>0</v>
      </c>
      <c r="CB13" s="22"/>
      <c r="CC13" s="22">
        <f t="shared" si="25"/>
        <v>0</v>
      </c>
      <c r="CD13" s="22">
        <f t="shared" si="71"/>
        <v>0</v>
      </c>
      <c r="CE13" s="22"/>
      <c r="CF13" s="22">
        <f t="shared" si="26"/>
        <v>0</v>
      </c>
      <c r="CG13" s="22">
        <f t="shared" si="72"/>
        <v>0</v>
      </c>
      <c r="CH13" s="22"/>
      <c r="CI13" s="22">
        <f t="shared" si="27"/>
        <v>0</v>
      </c>
      <c r="CJ13" s="22">
        <f t="shared" si="73"/>
        <v>0</v>
      </c>
      <c r="CK13" s="22"/>
      <c r="CL13" s="22">
        <f t="shared" si="28"/>
        <v>0</v>
      </c>
      <c r="CM13" s="22">
        <f t="shared" si="74"/>
        <v>0</v>
      </c>
      <c r="CN13" s="22"/>
      <c r="CO13" s="22">
        <f t="shared" si="29"/>
        <v>0</v>
      </c>
      <c r="CP13" s="22">
        <f t="shared" si="75"/>
        <v>0</v>
      </c>
      <c r="CQ13" s="22"/>
      <c r="CR13" s="22">
        <f t="shared" si="30"/>
        <v>0</v>
      </c>
      <c r="CS13" s="22">
        <f t="shared" si="76"/>
        <v>0</v>
      </c>
      <c r="CT13" s="22"/>
      <c r="CU13" s="22">
        <f t="shared" si="31"/>
        <v>0</v>
      </c>
      <c r="CV13" s="22">
        <f t="shared" si="77"/>
        <v>0</v>
      </c>
      <c r="CW13" s="22"/>
      <c r="CX13" s="22">
        <f t="shared" si="32"/>
        <v>0</v>
      </c>
      <c r="CY13" s="22">
        <f t="shared" si="78"/>
        <v>0</v>
      </c>
      <c r="CZ13" s="22"/>
      <c r="DA13" s="22">
        <f t="shared" si="33"/>
        <v>0</v>
      </c>
      <c r="DB13" s="22">
        <f t="shared" si="79"/>
        <v>0</v>
      </c>
      <c r="DC13" s="22"/>
      <c r="DD13" s="22">
        <f t="shared" si="34"/>
        <v>0</v>
      </c>
      <c r="DE13" s="22">
        <f t="shared" si="80"/>
        <v>0</v>
      </c>
      <c r="DF13" s="22"/>
      <c r="DG13" s="22">
        <f t="shared" si="35"/>
        <v>0</v>
      </c>
      <c r="DH13" s="22">
        <f t="shared" si="81"/>
        <v>0</v>
      </c>
      <c r="DI13" s="22"/>
      <c r="DJ13" s="22">
        <f t="shared" si="36"/>
        <v>0</v>
      </c>
      <c r="DK13" s="22">
        <f t="shared" si="82"/>
        <v>0</v>
      </c>
      <c r="DL13" s="22"/>
      <c r="DM13" s="22">
        <f t="shared" si="37"/>
        <v>0</v>
      </c>
      <c r="DN13" s="22">
        <f t="shared" si="83"/>
        <v>0</v>
      </c>
      <c r="DO13" s="22"/>
      <c r="DP13" s="22">
        <f t="shared" si="38"/>
        <v>0</v>
      </c>
      <c r="DQ13" s="22">
        <f t="shared" si="84"/>
        <v>0</v>
      </c>
      <c r="DR13" s="22">
        <v>1</v>
      </c>
      <c r="DS13" s="22">
        <f t="shared" si="39"/>
        <v>0</v>
      </c>
      <c r="DT13" s="22">
        <f t="shared" si="85"/>
        <v>0</v>
      </c>
      <c r="DU13" s="22"/>
      <c r="DV13" s="22">
        <f t="shared" si="40"/>
        <v>0</v>
      </c>
      <c r="DW13" s="22">
        <f t="shared" si="86"/>
        <v>0</v>
      </c>
      <c r="DX13" s="22"/>
      <c r="DY13" s="22">
        <f t="shared" si="41"/>
        <v>0</v>
      </c>
      <c r="DZ13" s="22">
        <f t="shared" si="87"/>
        <v>0</v>
      </c>
      <c r="EA13" s="22">
        <v>2</v>
      </c>
      <c r="EB13" s="22">
        <f t="shared" si="42"/>
        <v>6</v>
      </c>
      <c r="EC13" s="22">
        <f t="shared" si="88"/>
        <v>0</v>
      </c>
      <c r="ED13" s="22">
        <v>1</v>
      </c>
      <c r="EE13" s="22">
        <f t="shared" si="43"/>
        <v>2</v>
      </c>
      <c r="EF13" s="22">
        <f t="shared" si="89"/>
        <v>0</v>
      </c>
      <c r="EG13" s="22"/>
      <c r="EH13" s="22">
        <f t="shared" si="44"/>
        <v>0</v>
      </c>
      <c r="EI13" s="22">
        <f t="shared" si="90"/>
        <v>0</v>
      </c>
      <c r="EJ13" s="22"/>
      <c r="EK13" s="22">
        <f t="shared" si="45"/>
        <v>0</v>
      </c>
      <c r="EL13" s="22">
        <f t="shared" si="91"/>
        <v>0</v>
      </c>
      <c r="EM13" s="22"/>
      <c r="EN13" s="22">
        <f t="shared" si="46"/>
        <v>0</v>
      </c>
      <c r="EO13" s="22">
        <f t="shared" si="92"/>
        <v>0</v>
      </c>
    </row>
    <row r="14" spans="1:145">
      <c r="A14" s="15">
        <v>9</v>
      </c>
      <c r="B14" s="17" t="s">
        <v>517</v>
      </c>
      <c r="C14" s="16" t="s">
        <v>382</v>
      </c>
      <c r="D14" s="18" t="s">
        <v>518</v>
      </c>
      <c r="E14" s="23" t="s">
        <v>429</v>
      </c>
      <c r="F14" s="19">
        <f t="shared" si="0"/>
        <v>13</v>
      </c>
      <c r="G14" s="20"/>
      <c r="H14" s="21">
        <v>1</v>
      </c>
      <c r="I14" s="22">
        <f t="shared" si="1"/>
        <v>1</v>
      </c>
      <c r="J14" s="22">
        <f>$G14*H14</f>
        <v>0</v>
      </c>
      <c r="K14" s="22">
        <v>1</v>
      </c>
      <c r="L14" s="22">
        <f t="shared" si="2"/>
        <v>6</v>
      </c>
      <c r="M14" s="22">
        <f>$G14*K14</f>
        <v>0</v>
      </c>
      <c r="N14" s="22"/>
      <c r="O14" s="22">
        <f t="shared" si="3"/>
        <v>0</v>
      </c>
      <c r="P14" s="22">
        <f>$G14*N14</f>
        <v>0</v>
      </c>
      <c r="Q14" s="22"/>
      <c r="R14" s="22">
        <f t="shared" si="4"/>
        <v>0</v>
      </c>
      <c r="S14" s="22">
        <f>$G14*Q14</f>
        <v>0</v>
      </c>
      <c r="T14" s="22">
        <v>1</v>
      </c>
      <c r="U14" s="22">
        <f t="shared" si="5"/>
        <v>1</v>
      </c>
      <c r="V14" s="22">
        <f>$G14*T14</f>
        <v>0</v>
      </c>
      <c r="W14" s="22"/>
      <c r="X14" s="22">
        <f t="shared" si="6"/>
        <v>0</v>
      </c>
      <c r="Y14" s="22">
        <f>$G14*W14</f>
        <v>0</v>
      </c>
      <c r="Z14" s="22"/>
      <c r="AA14" s="22">
        <f t="shared" si="7"/>
        <v>0</v>
      </c>
      <c r="AB14" s="22">
        <f>$G14*Z14</f>
        <v>0</v>
      </c>
      <c r="AC14" s="22">
        <v>1</v>
      </c>
      <c r="AD14" s="22">
        <f t="shared" si="8"/>
        <v>1</v>
      </c>
      <c r="AE14" s="22">
        <f>$G14*AC14</f>
        <v>0</v>
      </c>
      <c r="AF14" s="22">
        <v>1</v>
      </c>
      <c r="AG14" s="22">
        <f t="shared" si="9"/>
        <v>4</v>
      </c>
      <c r="AH14" s="22">
        <f>$G14*AF14</f>
        <v>0</v>
      </c>
      <c r="AI14" s="22"/>
      <c r="AJ14" s="22">
        <f t="shared" si="10"/>
        <v>0</v>
      </c>
      <c r="AK14" s="22">
        <f>$G14*AI14</f>
        <v>0</v>
      </c>
      <c r="AL14" s="22"/>
      <c r="AM14" s="22">
        <f t="shared" si="11"/>
        <v>0</v>
      </c>
      <c r="AN14" s="22">
        <f>$G14*AL14</f>
        <v>0</v>
      </c>
      <c r="AO14" s="22"/>
      <c r="AP14" s="22">
        <f t="shared" si="12"/>
        <v>0</v>
      </c>
      <c r="AQ14" s="22">
        <f>$G14*AO14</f>
        <v>0</v>
      </c>
      <c r="AR14" s="22"/>
      <c r="AS14" s="22">
        <f t="shared" si="13"/>
        <v>0</v>
      </c>
      <c r="AT14" s="22">
        <f>$G14*AR14</f>
        <v>0</v>
      </c>
      <c r="AU14" s="22"/>
      <c r="AV14" s="22">
        <f t="shared" si="14"/>
        <v>0</v>
      </c>
      <c r="AW14" s="22">
        <f>$G14*AU14</f>
        <v>0</v>
      </c>
      <c r="AX14" s="22"/>
      <c r="AY14" s="22">
        <f t="shared" si="15"/>
        <v>0</v>
      </c>
      <c r="AZ14" s="22">
        <f>$G14*AX14</f>
        <v>0</v>
      </c>
      <c r="BA14" s="22"/>
      <c r="BB14" s="22">
        <f t="shared" si="16"/>
        <v>0</v>
      </c>
      <c r="BC14" s="22">
        <f>$G14*BA14</f>
        <v>0</v>
      </c>
      <c r="BD14" s="22"/>
      <c r="BE14" s="22">
        <f t="shared" si="17"/>
        <v>0</v>
      </c>
      <c r="BF14" s="22">
        <f>$G14*BD14</f>
        <v>0</v>
      </c>
      <c r="BG14" s="22"/>
      <c r="BH14" s="22">
        <f t="shared" si="18"/>
        <v>0</v>
      </c>
      <c r="BI14" s="22">
        <f>$G14*BG14</f>
        <v>0</v>
      </c>
      <c r="BJ14" s="22"/>
      <c r="BK14" s="22">
        <f t="shared" si="19"/>
        <v>0</v>
      </c>
      <c r="BL14" s="22">
        <f>$G14*BJ14</f>
        <v>0</v>
      </c>
      <c r="BM14" s="22"/>
      <c r="BN14" s="22">
        <f t="shared" si="20"/>
        <v>0</v>
      </c>
      <c r="BO14" s="22">
        <f>$G14*BM14</f>
        <v>0</v>
      </c>
      <c r="BP14" s="22"/>
      <c r="BQ14" s="22">
        <f t="shared" si="21"/>
        <v>0</v>
      </c>
      <c r="BR14" s="22">
        <f>$G14*BP14</f>
        <v>0</v>
      </c>
      <c r="BS14" s="22"/>
      <c r="BT14" s="22">
        <f t="shared" si="22"/>
        <v>0</v>
      </c>
      <c r="BU14" s="22">
        <f>$G14*BS14</f>
        <v>0</v>
      </c>
      <c r="BV14" s="22"/>
      <c r="BW14" s="22">
        <f t="shared" si="23"/>
        <v>0</v>
      </c>
      <c r="BX14" s="22">
        <f>$G14*BV14</f>
        <v>0</v>
      </c>
      <c r="BY14" s="22"/>
      <c r="BZ14" s="22">
        <f t="shared" si="24"/>
        <v>0</v>
      </c>
      <c r="CA14" s="22">
        <f>$G14*BY14</f>
        <v>0</v>
      </c>
      <c r="CB14" s="22"/>
      <c r="CC14" s="22">
        <f t="shared" si="25"/>
        <v>0</v>
      </c>
      <c r="CD14" s="22">
        <f>$G14*CB14</f>
        <v>0</v>
      </c>
      <c r="CE14" s="22"/>
      <c r="CF14" s="22">
        <f t="shared" si="26"/>
        <v>0</v>
      </c>
      <c r="CG14" s="22">
        <f>$G14*CE14</f>
        <v>0</v>
      </c>
      <c r="CH14" s="22"/>
      <c r="CI14" s="22">
        <f t="shared" si="27"/>
        <v>0</v>
      </c>
      <c r="CJ14" s="22">
        <f>$G14*CH14</f>
        <v>0</v>
      </c>
      <c r="CK14" s="22"/>
      <c r="CL14" s="22">
        <f t="shared" si="28"/>
        <v>0</v>
      </c>
      <c r="CM14" s="22">
        <f>$G14*CK14</f>
        <v>0</v>
      </c>
      <c r="CN14" s="22"/>
      <c r="CO14" s="22">
        <f t="shared" si="29"/>
        <v>0</v>
      </c>
      <c r="CP14" s="22">
        <f>$G14*CN14</f>
        <v>0</v>
      </c>
      <c r="CQ14" s="22"/>
      <c r="CR14" s="22">
        <f t="shared" si="30"/>
        <v>0</v>
      </c>
      <c r="CS14" s="22">
        <f>$G14*CQ14</f>
        <v>0</v>
      </c>
      <c r="CT14" s="22"/>
      <c r="CU14" s="22">
        <f t="shared" si="31"/>
        <v>0</v>
      </c>
      <c r="CV14" s="22">
        <f>$G14*CT14</f>
        <v>0</v>
      </c>
      <c r="CW14" s="22"/>
      <c r="CX14" s="22">
        <f t="shared" si="32"/>
        <v>0</v>
      </c>
      <c r="CY14" s="22">
        <f>$G14*CW14</f>
        <v>0</v>
      </c>
      <c r="CZ14" s="22"/>
      <c r="DA14" s="22">
        <f t="shared" si="33"/>
        <v>0</v>
      </c>
      <c r="DB14" s="22">
        <f>$G14*CZ14</f>
        <v>0</v>
      </c>
      <c r="DC14" s="22"/>
      <c r="DD14" s="22">
        <f t="shared" si="34"/>
        <v>0</v>
      </c>
      <c r="DE14" s="22">
        <f>$G14*DC14</f>
        <v>0</v>
      </c>
      <c r="DF14" s="22"/>
      <c r="DG14" s="22">
        <f t="shared" si="35"/>
        <v>0</v>
      </c>
      <c r="DH14" s="22">
        <f>$G14*DF14</f>
        <v>0</v>
      </c>
      <c r="DI14" s="22"/>
      <c r="DJ14" s="22">
        <f t="shared" si="36"/>
        <v>0</v>
      </c>
      <c r="DK14" s="22">
        <f>$G14*DI14</f>
        <v>0</v>
      </c>
      <c r="DL14" s="22"/>
      <c r="DM14" s="22">
        <f t="shared" si="37"/>
        <v>0</v>
      </c>
      <c r="DN14" s="22">
        <f>$G14*DL14</f>
        <v>0</v>
      </c>
      <c r="DO14" s="22"/>
      <c r="DP14" s="22">
        <f t="shared" si="38"/>
        <v>0</v>
      </c>
      <c r="DQ14" s="22">
        <f>$G14*DO14</f>
        <v>0</v>
      </c>
      <c r="DR14" s="22"/>
      <c r="DS14" s="22">
        <f t="shared" si="39"/>
        <v>0</v>
      </c>
      <c r="DT14" s="22">
        <f>$G14*DR14</f>
        <v>0</v>
      </c>
      <c r="DU14" s="22"/>
      <c r="DV14" s="22">
        <f t="shared" si="40"/>
        <v>0</v>
      </c>
      <c r="DW14" s="22">
        <f>$G14*DU14</f>
        <v>0</v>
      </c>
      <c r="DX14" s="22"/>
      <c r="DY14" s="22">
        <f t="shared" si="41"/>
        <v>0</v>
      </c>
      <c r="DZ14" s="22">
        <f>$G14*DX14</f>
        <v>0</v>
      </c>
      <c r="EA14" s="22"/>
      <c r="EB14" s="22">
        <f t="shared" si="42"/>
        <v>0</v>
      </c>
      <c r="EC14" s="22">
        <f>$G14*EA14</f>
        <v>0</v>
      </c>
      <c r="ED14" s="22"/>
      <c r="EE14" s="22">
        <f t="shared" si="43"/>
        <v>0</v>
      </c>
      <c r="EF14" s="22">
        <f>$G14*ED14</f>
        <v>0</v>
      </c>
      <c r="EG14" s="22"/>
      <c r="EH14" s="22">
        <f t="shared" si="44"/>
        <v>0</v>
      </c>
      <c r="EI14" s="22">
        <f>$G14*EG14</f>
        <v>0</v>
      </c>
      <c r="EJ14" s="22"/>
      <c r="EK14" s="22">
        <f t="shared" si="45"/>
        <v>0</v>
      </c>
      <c r="EL14" s="22">
        <f>$G14*EJ14</f>
        <v>0</v>
      </c>
      <c r="EM14" s="22"/>
      <c r="EN14" s="22">
        <f t="shared" si="46"/>
        <v>0</v>
      </c>
      <c r="EO14" s="22">
        <f>$G14*EM14</f>
        <v>0</v>
      </c>
    </row>
    <row r="15" spans="1:145">
      <c r="A15" s="15">
        <v>10</v>
      </c>
      <c r="B15" s="17" t="s">
        <v>385</v>
      </c>
      <c r="C15" s="17" t="s">
        <v>382</v>
      </c>
      <c r="D15" s="17" t="s">
        <v>386</v>
      </c>
      <c r="E15" s="18" t="s">
        <v>384</v>
      </c>
      <c r="F15" s="19">
        <f t="shared" si="0"/>
        <v>2</v>
      </c>
      <c r="G15" s="20"/>
      <c r="H15" s="21">
        <v>1</v>
      </c>
      <c r="I15" s="22">
        <f t="shared" si="1"/>
        <v>1</v>
      </c>
      <c r="J15" s="22">
        <f t="shared" ref="J15:J21" si="93">$G15*H15</f>
        <v>0</v>
      </c>
      <c r="K15" s="22"/>
      <c r="L15" s="22">
        <f t="shared" si="2"/>
        <v>0</v>
      </c>
      <c r="M15" s="22">
        <f t="shared" ref="M15:M21" si="94">$G15*K15</f>
        <v>0</v>
      </c>
      <c r="N15" s="22"/>
      <c r="O15" s="22">
        <f t="shared" si="3"/>
        <v>0</v>
      </c>
      <c r="P15" s="22">
        <f t="shared" ref="P15:P21" si="95">$G15*N15</f>
        <v>0</v>
      </c>
      <c r="Q15" s="22"/>
      <c r="R15" s="22">
        <f t="shared" si="4"/>
        <v>0</v>
      </c>
      <c r="S15" s="22">
        <f t="shared" ref="S15:S21" si="96">$G15*Q15</f>
        <v>0</v>
      </c>
      <c r="T15" s="22">
        <v>1</v>
      </c>
      <c r="U15" s="22">
        <f t="shared" si="5"/>
        <v>1</v>
      </c>
      <c r="V15" s="22">
        <f t="shared" ref="V15:V21" si="97">$G15*T15</f>
        <v>0</v>
      </c>
      <c r="W15" s="22"/>
      <c r="X15" s="22">
        <f t="shared" si="6"/>
        <v>0</v>
      </c>
      <c r="Y15" s="22">
        <f t="shared" ref="Y15:Y21" si="98">$G15*W15</f>
        <v>0</v>
      </c>
      <c r="Z15" s="22"/>
      <c r="AA15" s="22">
        <f t="shared" si="7"/>
        <v>0</v>
      </c>
      <c r="AB15" s="22">
        <f t="shared" ref="AB15:AB21" si="99">$G15*Z15</f>
        <v>0</v>
      </c>
      <c r="AC15" s="22"/>
      <c r="AD15" s="22">
        <f t="shared" si="8"/>
        <v>0</v>
      </c>
      <c r="AE15" s="22">
        <f t="shared" ref="AE15:AE21" si="100">$G15*AC15</f>
        <v>0</v>
      </c>
      <c r="AF15" s="22"/>
      <c r="AG15" s="22">
        <f t="shared" si="9"/>
        <v>0</v>
      </c>
      <c r="AH15" s="22">
        <f t="shared" ref="AH15:AH21" si="101">$G15*AF15</f>
        <v>0</v>
      </c>
      <c r="AI15" s="22"/>
      <c r="AJ15" s="22">
        <f t="shared" si="10"/>
        <v>0</v>
      </c>
      <c r="AK15" s="22">
        <f t="shared" ref="AK15:AK21" si="102">$G15*AI15</f>
        <v>0</v>
      </c>
      <c r="AL15" s="22"/>
      <c r="AM15" s="22">
        <f t="shared" si="11"/>
        <v>0</v>
      </c>
      <c r="AN15" s="22">
        <f t="shared" ref="AN15:AN21" si="103">$G15*AL15</f>
        <v>0</v>
      </c>
      <c r="AO15" s="22"/>
      <c r="AP15" s="22">
        <f t="shared" si="12"/>
        <v>0</v>
      </c>
      <c r="AQ15" s="22">
        <f t="shared" ref="AQ15:AQ21" si="104">$G15*AO15</f>
        <v>0</v>
      </c>
      <c r="AR15" s="22"/>
      <c r="AS15" s="22">
        <f t="shared" si="13"/>
        <v>0</v>
      </c>
      <c r="AT15" s="22">
        <f t="shared" ref="AT15:AT21" si="105">$G15*AR15</f>
        <v>0</v>
      </c>
      <c r="AU15" s="22"/>
      <c r="AV15" s="22">
        <f t="shared" si="14"/>
        <v>0</v>
      </c>
      <c r="AW15" s="22">
        <f t="shared" ref="AW15:AW21" si="106">$G15*AU15</f>
        <v>0</v>
      </c>
      <c r="AX15" s="22"/>
      <c r="AY15" s="22">
        <f t="shared" si="15"/>
        <v>0</v>
      </c>
      <c r="AZ15" s="22">
        <f t="shared" ref="AZ15:AZ21" si="107">$G15*AX15</f>
        <v>0</v>
      </c>
      <c r="BA15" s="22"/>
      <c r="BB15" s="22">
        <f t="shared" si="16"/>
        <v>0</v>
      </c>
      <c r="BC15" s="22">
        <f t="shared" ref="BC15:BC21" si="108">$G15*BA15</f>
        <v>0</v>
      </c>
      <c r="BD15" s="22"/>
      <c r="BE15" s="22">
        <f t="shared" si="17"/>
        <v>0</v>
      </c>
      <c r="BF15" s="22">
        <f t="shared" ref="BF15:BF21" si="109">$G15*BD15</f>
        <v>0</v>
      </c>
      <c r="BG15" s="22">
        <v>1</v>
      </c>
      <c r="BH15" s="22">
        <f t="shared" si="18"/>
        <v>0</v>
      </c>
      <c r="BI15" s="22">
        <f t="shared" ref="BI15:BI21" si="110">$G15*BG15</f>
        <v>0</v>
      </c>
      <c r="BJ15" s="22"/>
      <c r="BK15" s="22">
        <f t="shared" si="19"/>
        <v>0</v>
      </c>
      <c r="BL15" s="22">
        <f t="shared" ref="BL15:BL21" si="111">$G15*BJ15</f>
        <v>0</v>
      </c>
      <c r="BM15" s="22"/>
      <c r="BN15" s="22">
        <f t="shared" si="20"/>
        <v>0</v>
      </c>
      <c r="BO15" s="22">
        <f t="shared" ref="BO15:BO21" si="112">$G15*BM15</f>
        <v>0</v>
      </c>
      <c r="BP15" s="22"/>
      <c r="BQ15" s="22">
        <f t="shared" si="21"/>
        <v>0</v>
      </c>
      <c r="BR15" s="22">
        <f t="shared" ref="BR15:BR21" si="113">$G15*BP15</f>
        <v>0</v>
      </c>
      <c r="BS15" s="22"/>
      <c r="BT15" s="22">
        <f t="shared" si="22"/>
        <v>0</v>
      </c>
      <c r="BU15" s="22">
        <f t="shared" ref="BU15:BU21" si="114">$G15*BS15</f>
        <v>0</v>
      </c>
      <c r="BV15" s="22"/>
      <c r="BW15" s="22">
        <f t="shared" si="23"/>
        <v>0</v>
      </c>
      <c r="BX15" s="22">
        <f t="shared" ref="BX15:BX21" si="115">$G15*BV15</f>
        <v>0</v>
      </c>
      <c r="BY15" s="22"/>
      <c r="BZ15" s="22">
        <f t="shared" si="24"/>
        <v>0</v>
      </c>
      <c r="CA15" s="22">
        <f t="shared" ref="CA15:CA21" si="116">$G15*BY15</f>
        <v>0</v>
      </c>
      <c r="CB15" s="22"/>
      <c r="CC15" s="22">
        <f t="shared" si="25"/>
        <v>0</v>
      </c>
      <c r="CD15" s="22">
        <f t="shared" ref="CD15:CD21" si="117">$G15*CB15</f>
        <v>0</v>
      </c>
      <c r="CE15" s="22"/>
      <c r="CF15" s="22">
        <f t="shared" si="26"/>
        <v>0</v>
      </c>
      <c r="CG15" s="22">
        <f t="shared" ref="CG15:CG21" si="118">$G15*CE15</f>
        <v>0</v>
      </c>
      <c r="CH15" s="22"/>
      <c r="CI15" s="22">
        <f t="shared" si="27"/>
        <v>0</v>
      </c>
      <c r="CJ15" s="22">
        <f t="shared" ref="CJ15:CJ21" si="119">$G15*CH15</f>
        <v>0</v>
      </c>
      <c r="CK15" s="22"/>
      <c r="CL15" s="22">
        <f t="shared" si="28"/>
        <v>0</v>
      </c>
      <c r="CM15" s="22">
        <f t="shared" ref="CM15:CM21" si="120">$G15*CK15</f>
        <v>0</v>
      </c>
      <c r="CN15" s="22"/>
      <c r="CO15" s="22">
        <f t="shared" si="29"/>
        <v>0</v>
      </c>
      <c r="CP15" s="22">
        <f t="shared" ref="CP15:CP21" si="121">$G15*CN15</f>
        <v>0</v>
      </c>
      <c r="CQ15" s="22"/>
      <c r="CR15" s="22">
        <f t="shared" si="30"/>
        <v>0</v>
      </c>
      <c r="CS15" s="22">
        <f t="shared" ref="CS15:CS21" si="122">$G15*CQ15</f>
        <v>0</v>
      </c>
      <c r="CT15" s="22"/>
      <c r="CU15" s="22">
        <f t="shared" si="31"/>
        <v>0</v>
      </c>
      <c r="CV15" s="22">
        <f t="shared" ref="CV15:CV21" si="123">$G15*CT15</f>
        <v>0</v>
      </c>
      <c r="CW15" s="22"/>
      <c r="CX15" s="22">
        <f t="shared" si="32"/>
        <v>0</v>
      </c>
      <c r="CY15" s="22">
        <f t="shared" ref="CY15:CY21" si="124">$G15*CW15</f>
        <v>0</v>
      </c>
      <c r="CZ15" s="22"/>
      <c r="DA15" s="22">
        <f t="shared" si="33"/>
        <v>0</v>
      </c>
      <c r="DB15" s="22">
        <f t="shared" ref="DB15:DB21" si="125">$G15*CZ15</f>
        <v>0</v>
      </c>
      <c r="DC15" s="22"/>
      <c r="DD15" s="22">
        <f t="shared" si="34"/>
        <v>0</v>
      </c>
      <c r="DE15" s="22">
        <f t="shared" ref="DE15:DE21" si="126">$G15*DC15</f>
        <v>0</v>
      </c>
      <c r="DF15" s="22"/>
      <c r="DG15" s="22">
        <f t="shared" si="35"/>
        <v>0</v>
      </c>
      <c r="DH15" s="22">
        <f t="shared" ref="DH15:DH21" si="127">$G15*DF15</f>
        <v>0</v>
      </c>
      <c r="DI15" s="22"/>
      <c r="DJ15" s="22">
        <f t="shared" si="36"/>
        <v>0</v>
      </c>
      <c r="DK15" s="22">
        <f t="shared" ref="DK15:DK21" si="128">$G15*DI15</f>
        <v>0</v>
      </c>
      <c r="DL15" s="22"/>
      <c r="DM15" s="22">
        <f t="shared" si="37"/>
        <v>0</v>
      </c>
      <c r="DN15" s="22">
        <f t="shared" ref="DN15:DN21" si="129">$G15*DL15</f>
        <v>0</v>
      </c>
      <c r="DO15" s="22"/>
      <c r="DP15" s="22">
        <f t="shared" si="38"/>
        <v>0</v>
      </c>
      <c r="DQ15" s="22">
        <f t="shared" ref="DQ15:DQ21" si="130">$G15*DO15</f>
        <v>0</v>
      </c>
      <c r="DR15" s="22"/>
      <c r="DS15" s="22">
        <f t="shared" si="39"/>
        <v>0</v>
      </c>
      <c r="DT15" s="22">
        <f t="shared" ref="DT15:DT21" si="131">$G15*DR15</f>
        <v>0</v>
      </c>
      <c r="DU15" s="22"/>
      <c r="DV15" s="22">
        <f t="shared" si="40"/>
        <v>0</v>
      </c>
      <c r="DW15" s="22">
        <f t="shared" ref="DW15:DW21" si="132">$G15*DU15</f>
        <v>0</v>
      </c>
      <c r="DX15" s="22"/>
      <c r="DY15" s="22">
        <f t="shared" si="41"/>
        <v>0</v>
      </c>
      <c r="DZ15" s="22">
        <f t="shared" ref="DZ15:DZ21" si="133">$G15*DX15</f>
        <v>0</v>
      </c>
      <c r="EA15" s="22"/>
      <c r="EB15" s="22">
        <f t="shared" si="42"/>
        <v>0</v>
      </c>
      <c r="EC15" s="22">
        <f t="shared" ref="EC15:EC21" si="134">$G15*EA15</f>
        <v>0</v>
      </c>
      <c r="ED15" s="22"/>
      <c r="EE15" s="22">
        <f t="shared" si="43"/>
        <v>0</v>
      </c>
      <c r="EF15" s="22">
        <f t="shared" ref="EF15:EF21" si="135">$G15*ED15</f>
        <v>0</v>
      </c>
      <c r="EG15" s="22"/>
      <c r="EH15" s="22">
        <f t="shared" si="44"/>
        <v>0</v>
      </c>
      <c r="EI15" s="22">
        <f t="shared" ref="EI15:EI21" si="136">$G15*EG15</f>
        <v>0</v>
      </c>
      <c r="EJ15" s="22"/>
      <c r="EK15" s="22">
        <f t="shared" si="45"/>
        <v>0</v>
      </c>
      <c r="EL15" s="22">
        <f t="shared" ref="EL15:EL21" si="137">$G15*EJ15</f>
        <v>0</v>
      </c>
      <c r="EM15" s="22"/>
      <c r="EN15" s="22">
        <f t="shared" si="46"/>
        <v>0</v>
      </c>
      <c r="EO15" s="22">
        <f t="shared" ref="EO15:EO21" si="138">$G15*EM15</f>
        <v>0</v>
      </c>
    </row>
    <row r="16" spans="1:145">
      <c r="A16" s="15">
        <v>11</v>
      </c>
      <c r="B16" s="17" t="s">
        <v>519</v>
      </c>
      <c r="C16" s="17" t="s">
        <v>414</v>
      </c>
      <c r="D16" s="17" t="s">
        <v>520</v>
      </c>
      <c r="E16" s="23" t="s">
        <v>376</v>
      </c>
      <c r="F16" s="19">
        <f t="shared" si="0"/>
        <v>6</v>
      </c>
      <c r="G16" s="20"/>
      <c r="H16" s="21"/>
      <c r="I16" s="22">
        <f t="shared" si="1"/>
        <v>0</v>
      </c>
      <c r="J16" s="22">
        <f t="shared" si="93"/>
        <v>0</v>
      </c>
      <c r="K16" s="22">
        <v>1</v>
      </c>
      <c r="L16" s="22">
        <f t="shared" si="2"/>
        <v>6</v>
      </c>
      <c r="M16" s="22">
        <f t="shared" si="94"/>
        <v>0</v>
      </c>
      <c r="N16" s="22"/>
      <c r="O16" s="22">
        <f t="shared" si="3"/>
        <v>0</v>
      </c>
      <c r="P16" s="22">
        <f t="shared" si="95"/>
        <v>0</v>
      </c>
      <c r="Q16" s="22"/>
      <c r="R16" s="22">
        <f t="shared" si="4"/>
        <v>0</v>
      </c>
      <c r="S16" s="22">
        <f t="shared" si="96"/>
        <v>0</v>
      </c>
      <c r="T16" s="22"/>
      <c r="U16" s="22">
        <f t="shared" si="5"/>
        <v>0</v>
      </c>
      <c r="V16" s="22">
        <f t="shared" si="97"/>
        <v>0</v>
      </c>
      <c r="W16" s="22"/>
      <c r="X16" s="22">
        <f t="shared" si="6"/>
        <v>0</v>
      </c>
      <c r="Y16" s="22">
        <f t="shared" si="98"/>
        <v>0</v>
      </c>
      <c r="Z16" s="22"/>
      <c r="AA16" s="22">
        <f t="shared" si="7"/>
        <v>0</v>
      </c>
      <c r="AB16" s="22">
        <f t="shared" si="99"/>
        <v>0</v>
      </c>
      <c r="AC16" s="22"/>
      <c r="AD16" s="22">
        <f t="shared" si="8"/>
        <v>0</v>
      </c>
      <c r="AE16" s="22">
        <f t="shared" si="100"/>
        <v>0</v>
      </c>
      <c r="AF16" s="22"/>
      <c r="AG16" s="22">
        <f t="shared" si="9"/>
        <v>0</v>
      </c>
      <c r="AH16" s="22">
        <f t="shared" si="101"/>
        <v>0</v>
      </c>
      <c r="AI16" s="22"/>
      <c r="AJ16" s="22">
        <f t="shared" si="10"/>
        <v>0</v>
      </c>
      <c r="AK16" s="22">
        <f t="shared" si="102"/>
        <v>0</v>
      </c>
      <c r="AL16" s="22"/>
      <c r="AM16" s="22">
        <f t="shared" si="11"/>
        <v>0</v>
      </c>
      <c r="AN16" s="22">
        <f t="shared" si="103"/>
        <v>0</v>
      </c>
      <c r="AO16" s="22"/>
      <c r="AP16" s="22">
        <f t="shared" si="12"/>
        <v>0</v>
      </c>
      <c r="AQ16" s="22">
        <f t="shared" si="104"/>
        <v>0</v>
      </c>
      <c r="AR16" s="22"/>
      <c r="AS16" s="22">
        <f t="shared" si="13"/>
        <v>0</v>
      </c>
      <c r="AT16" s="22">
        <f t="shared" si="105"/>
        <v>0</v>
      </c>
      <c r="AU16" s="22"/>
      <c r="AV16" s="22">
        <f t="shared" si="14"/>
        <v>0</v>
      </c>
      <c r="AW16" s="22">
        <f t="shared" si="106"/>
        <v>0</v>
      </c>
      <c r="AX16" s="22"/>
      <c r="AY16" s="22">
        <f t="shared" si="15"/>
        <v>0</v>
      </c>
      <c r="AZ16" s="22">
        <f t="shared" si="107"/>
        <v>0</v>
      </c>
      <c r="BA16" s="22"/>
      <c r="BB16" s="22">
        <f t="shared" si="16"/>
        <v>0</v>
      </c>
      <c r="BC16" s="22">
        <f t="shared" si="108"/>
        <v>0</v>
      </c>
      <c r="BD16" s="22"/>
      <c r="BE16" s="22">
        <f t="shared" si="17"/>
        <v>0</v>
      </c>
      <c r="BF16" s="22">
        <f t="shared" si="109"/>
        <v>0</v>
      </c>
      <c r="BG16" s="22"/>
      <c r="BH16" s="22">
        <f t="shared" si="18"/>
        <v>0</v>
      </c>
      <c r="BI16" s="22">
        <f t="shared" si="110"/>
        <v>0</v>
      </c>
      <c r="BJ16" s="22"/>
      <c r="BK16" s="22">
        <f t="shared" si="19"/>
        <v>0</v>
      </c>
      <c r="BL16" s="22">
        <f t="shared" si="111"/>
        <v>0</v>
      </c>
      <c r="BM16" s="22"/>
      <c r="BN16" s="22">
        <f t="shared" si="20"/>
        <v>0</v>
      </c>
      <c r="BO16" s="22">
        <f t="shared" si="112"/>
        <v>0</v>
      </c>
      <c r="BP16" s="22"/>
      <c r="BQ16" s="22">
        <f t="shared" si="21"/>
        <v>0</v>
      </c>
      <c r="BR16" s="22">
        <f t="shared" si="113"/>
        <v>0</v>
      </c>
      <c r="BS16" s="22"/>
      <c r="BT16" s="22">
        <f t="shared" si="22"/>
        <v>0</v>
      </c>
      <c r="BU16" s="22">
        <f t="shared" si="114"/>
        <v>0</v>
      </c>
      <c r="BV16" s="22"/>
      <c r="BW16" s="22">
        <f t="shared" si="23"/>
        <v>0</v>
      </c>
      <c r="BX16" s="22">
        <f t="shared" si="115"/>
        <v>0</v>
      </c>
      <c r="BY16" s="22"/>
      <c r="BZ16" s="22">
        <f t="shared" si="24"/>
        <v>0</v>
      </c>
      <c r="CA16" s="22">
        <f t="shared" si="116"/>
        <v>0</v>
      </c>
      <c r="CB16" s="22"/>
      <c r="CC16" s="22">
        <f t="shared" si="25"/>
        <v>0</v>
      </c>
      <c r="CD16" s="22">
        <f t="shared" si="117"/>
        <v>0</v>
      </c>
      <c r="CE16" s="22"/>
      <c r="CF16" s="22">
        <f t="shared" si="26"/>
        <v>0</v>
      </c>
      <c r="CG16" s="22">
        <f t="shared" si="118"/>
        <v>0</v>
      </c>
      <c r="CH16" s="22"/>
      <c r="CI16" s="22">
        <f t="shared" si="27"/>
        <v>0</v>
      </c>
      <c r="CJ16" s="22">
        <f t="shared" si="119"/>
        <v>0</v>
      </c>
      <c r="CK16" s="22"/>
      <c r="CL16" s="22">
        <f t="shared" si="28"/>
        <v>0</v>
      </c>
      <c r="CM16" s="22">
        <f t="shared" si="120"/>
        <v>0</v>
      </c>
      <c r="CN16" s="22"/>
      <c r="CO16" s="22">
        <f t="shared" si="29"/>
        <v>0</v>
      </c>
      <c r="CP16" s="22">
        <f t="shared" si="121"/>
        <v>0</v>
      </c>
      <c r="CQ16" s="22"/>
      <c r="CR16" s="22">
        <f t="shared" si="30"/>
        <v>0</v>
      </c>
      <c r="CS16" s="22">
        <f t="shared" si="122"/>
        <v>0</v>
      </c>
      <c r="CT16" s="22"/>
      <c r="CU16" s="22">
        <f t="shared" si="31"/>
        <v>0</v>
      </c>
      <c r="CV16" s="22">
        <f t="shared" si="123"/>
        <v>0</v>
      </c>
      <c r="CW16" s="22"/>
      <c r="CX16" s="22">
        <f t="shared" si="32"/>
        <v>0</v>
      </c>
      <c r="CY16" s="22">
        <f t="shared" si="124"/>
        <v>0</v>
      </c>
      <c r="CZ16" s="22"/>
      <c r="DA16" s="22">
        <f t="shared" si="33"/>
        <v>0</v>
      </c>
      <c r="DB16" s="22">
        <f t="shared" si="125"/>
        <v>0</v>
      </c>
      <c r="DC16" s="22"/>
      <c r="DD16" s="22">
        <f t="shared" si="34"/>
        <v>0</v>
      </c>
      <c r="DE16" s="22">
        <f t="shared" si="126"/>
        <v>0</v>
      </c>
      <c r="DF16" s="22"/>
      <c r="DG16" s="22">
        <f t="shared" si="35"/>
        <v>0</v>
      </c>
      <c r="DH16" s="22">
        <f t="shared" si="127"/>
        <v>0</v>
      </c>
      <c r="DI16" s="22"/>
      <c r="DJ16" s="22">
        <f t="shared" si="36"/>
        <v>0</v>
      </c>
      <c r="DK16" s="22">
        <f t="shared" si="128"/>
        <v>0</v>
      </c>
      <c r="DL16" s="22"/>
      <c r="DM16" s="22">
        <f t="shared" si="37"/>
        <v>0</v>
      </c>
      <c r="DN16" s="22">
        <f t="shared" si="129"/>
        <v>0</v>
      </c>
      <c r="DO16" s="22"/>
      <c r="DP16" s="22">
        <f t="shared" si="38"/>
        <v>0</v>
      </c>
      <c r="DQ16" s="22">
        <f t="shared" si="130"/>
        <v>0</v>
      </c>
      <c r="DR16" s="22"/>
      <c r="DS16" s="22">
        <f t="shared" si="39"/>
        <v>0</v>
      </c>
      <c r="DT16" s="22">
        <f t="shared" si="131"/>
        <v>0</v>
      </c>
      <c r="DU16" s="22"/>
      <c r="DV16" s="22">
        <f t="shared" si="40"/>
        <v>0</v>
      </c>
      <c r="DW16" s="22">
        <f t="shared" si="132"/>
        <v>0</v>
      </c>
      <c r="DX16" s="22"/>
      <c r="DY16" s="22">
        <f t="shared" si="41"/>
        <v>0</v>
      </c>
      <c r="DZ16" s="22">
        <f t="shared" si="133"/>
        <v>0</v>
      </c>
      <c r="EA16" s="22"/>
      <c r="EB16" s="22">
        <f t="shared" si="42"/>
        <v>0</v>
      </c>
      <c r="EC16" s="22">
        <f t="shared" si="134"/>
        <v>0</v>
      </c>
      <c r="ED16" s="22"/>
      <c r="EE16" s="22">
        <f t="shared" si="43"/>
        <v>0</v>
      </c>
      <c r="EF16" s="22">
        <f t="shared" si="135"/>
        <v>0</v>
      </c>
      <c r="EG16" s="22"/>
      <c r="EH16" s="22">
        <f t="shared" si="44"/>
        <v>0</v>
      </c>
      <c r="EI16" s="22">
        <f t="shared" si="136"/>
        <v>0</v>
      </c>
      <c r="EJ16" s="22"/>
      <c r="EK16" s="22">
        <f t="shared" si="45"/>
        <v>0</v>
      </c>
      <c r="EL16" s="22">
        <f t="shared" si="137"/>
        <v>0</v>
      </c>
      <c r="EM16" s="22"/>
      <c r="EN16" s="22">
        <f t="shared" si="46"/>
        <v>0</v>
      </c>
      <c r="EO16" s="22">
        <f t="shared" si="138"/>
        <v>0</v>
      </c>
    </row>
    <row r="17" spans="1:145">
      <c r="A17" s="15">
        <v>12</v>
      </c>
      <c r="B17" s="17" t="s">
        <v>445</v>
      </c>
      <c r="C17" s="17" t="s">
        <v>414</v>
      </c>
      <c r="D17" s="17" t="s">
        <v>446</v>
      </c>
      <c r="E17" s="17" t="s">
        <v>416</v>
      </c>
      <c r="F17" s="19">
        <f t="shared" si="0"/>
        <v>12</v>
      </c>
      <c r="G17" s="20"/>
      <c r="H17" s="21"/>
      <c r="I17" s="22">
        <f t="shared" si="1"/>
        <v>0</v>
      </c>
      <c r="J17" s="22">
        <f t="shared" si="93"/>
        <v>0</v>
      </c>
      <c r="K17" s="22">
        <v>2</v>
      </c>
      <c r="L17" s="22">
        <f t="shared" si="2"/>
        <v>12</v>
      </c>
      <c r="M17" s="22">
        <f t="shared" si="94"/>
        <v>0</v>
      </c>
      <c r="N17" s="22"/>
      <c r="O17" s="22">
        <f t="shared" si="3"/>
        <v>0</v>
      </c>
      <c r="P17" s="22">
        <f t="shared" si="95"/>
        <v>0</v>
      </c>
      <c r="Q17" s="22"/>
      <c r="R17" s="22">
        <f t="shared" si="4"/>
        <v>0</v>
      </c>
      <c r="S17" s="22">
        <f t="shared" si="96"/>
        <v>0</v>
      </c>
      <c r="T17" s="22"/>
      <c r="U17" s="22">
        <f t="shared" si="5"/>
        <v>0</v>
      </c>
      <c r="V17" s="22">
        <f t="shared" si="97"/>
        <v>0</v>
      </c>
      <c r="W17" s="22"/>
      <c r="X17" s="22">
        <f t="shared" si="6"/>
        <v>0</v>
      </c>
      <c r="Y17" s="22">
        <f t="shared" si="98"/>
        <v>0</v>
      </c>
      <c r="Z17" s="22"/>
      <c r="AA17" s="22">
        <f t="shared" si="7"/>
        <v>0</v>
      </c>
      <c r="AB17" s="22">
        <f t="shared" si="99"/>
        <v>0</v>
      </c>
      <c r="AC17" s="22"/>
      <c r="AD17" s="22">
        <f t="shared" si="8"/>
        <v>0</v>
      </c>
      <c r="AE17" s="22">
        <f t="shared" si="100"/>
        <v>0</v>
      </c>
      <c r="AF17" s="22"/>
      <c r="AG17" s="22">
        <f t="shared" si="9"/>
        <v>0</v>
      </c>
      <c r="AH17" s="22">
        <f t="shared" si="101"/>
        <v>0</v>
      </c>
      <c r="AI17" s="22"/>
      <c r="AJ17" s="22">
        <f t="shared" si="10"/>
        <v>0</v>
      </c>
      <c r="AK17" s="22">
        <f t="shared" si="102"/>
        <v>0</v>
      </c>
      <c r="AL17" s="22"/>
      <c r="AM17" s="22">
        <f t="shared" si="11"/>
        <v>0</v>
      </c>
      <c r="AN17" s="22">
        <f t="shared" si="103"/>
        <v>0</v>
      </c>
      <c r="AO17" s="22"/>
      <c r="AP17" s="22">
        <f t="shared" si="12"/>
        <v>0</v>
      </c>
      <c r="AQ17" s="22">
        <f t="shared" si="104"/>
        <v>0</v>
      </c>
      <c r="AR17" s="22"/>
      <c r="AS17" s="22">
        <f t="shared" si="13"/>
        <v>0</v>
      </c>
      <c r="AT17" s="22">
        <f t="shared" si="105"/>
        <v>0</v>
      </c>
      <c r="AU17" s="22"/>
      <c r="AV17" s="22">
        <f t="shared" si="14"/>
        <v>0</v>
      </c>
      <c r="AW17" s="22">
        <f t="shared" si="106"/>
        <v>0</v>
      </c>
      <c r="AX17" s="22"/>
      <c r="AY17" s="22">
        <f t="shared" si="15"/>
        <v>0</v>
      </c>
      <c r="AZ17" s="22">
        <f t="shared" si="107"/>
        <v>0</v>
      </c>
      <c r="BA17" s="22"/>
      <c r="BB17" s="22">
        <f t="shared" si="16"/>
        <v>0</v>
      </c>
      <c r="BC17" s="22">
        <f t="shared" si="108"/>
        <v>0</v>
      </c>
      <c r="BD17" s="22"/>
      <c r="BE17" s="22">
        <f t="shared" si="17"/>
        <v>0</v>
      </c>
      <c r="BF17" s="22">
        <f t="shared" si="109"/>
        <v>0</v>
      </c>
      <c r="BG17" s="22"/>
      <c r="BH17" s="22">
        <f t="shared" si="18"/>
        <v>0</v>
      </c>
      <c r="BI17" s="22">
        <f t="shared" si="110"/>
        <v>0</v>
      </c>
      <c r="BJ17" s="22"/>
      <c r="BK17" s="22">
        <f t="shared" si="19"/>
        <v>0</v>
      </c>
      <c r="BL17" s="22">
        <f t="shared" si="111"/>
        <v>0</v>
      </c>
      <c r="BM17" s="22"/>
      <c r="BN17" s="22">
        <f t="shared" si="20"/>
        <v>0</v>
      </c>
      <c r="BO17" s="22">
        <f t="shared" si="112"/>
        <v>0</v>
      </c>
      <c r="BP17" s="22"/>
      <c r="BQ17" s="22">
        <f t="shared" si="21"/>
        <v>0</v>
      </c>
      <c r="BR17" s="22">
        <f t="shared" si="113"/>
        <v>0</v>
      </c>
      <c r="BS17" s="22"/>
      <c r="BT17" s="22">
        <f t="shared" si="22"/>
        <v>0</v>
      </c>
      <c r="BU17" s="22">
        <f t="shared" si="114"/>
        <v>0</v>
      </c>
      <c r="BV17" s="22"/>
      <c r="BW17" s="22">
        <f t="shared" si="23"/>
        <v>0</v>
      </c>
      <c r="BX17" s="22">
        <f t="shared" si="115"/>
        <v>0</v>
      </c>
      <c r="BY17" s="22"/>
      <c r="BZ17" s="22">
        <f t="shared" si="24"/>
        <v>0</v>
      </c>
      <c r="CA17" s="22">
        <f t="shared" si="116"/>
        <v>0</v>
      </c>
      <c r="CB17" s="22"/>
      <c r="CC17" s="22">
        <f t="shared" si="25"/>
        <v>0</v>
      </c>
      <c r="CD17" s="22">
        <f t="shared" si="117"/>
        <v>0</v>
      </c>
      <c r="CE17" s="22"/>
      <c r="CF17" s="22">
        <f t="shared" si="26"/>
        <v>0</v>
      </c>
      <c r="CG17" s="22">
        <f t="shared" si="118"/>
        <v>0</v>
      </c>
      <c r="CH17" s="22"/>
      <c r="CI17" s="22">
        <f t="shared" si="27"/>
        <v>0</v>
      </c>
      <c r="CJ17" s="22">
        <f t="shared" si="119"/>
        <v>0</v>
      </c>
      <c r="CK17" s="22"/>
      <c r="CL17" s="22">
        <f t="shared" si="28"/>
        <v>0</v>
      </c>
      <c r="CM17" s="22">
        <f t="shared" si="120"/>
        <v>0</v>
      </c>
      <c r="CN17" s="22"/>
      <c r="CO17" s="22">
        <f t="shared" si="29"/>
        <v>0</v>
      </c>
      <c r="CP17" s="22">
        <f t="shared" si="121"/>
        <v>0</v>
      </c>
      <c r="CQ17" s="22"/>
      <c r="CR17" s="22">
        <f t="shared" si="30"/>
        <v>0</v>
      </c>
      <c r="CS17" s="22">
        <f t="shared" si="122"/>
        <v>0</v>
      </c>
      <c r="CT17" s="22"/>
      <c r="CU17" s="22">
        <f t="shared" si="31"/>
        <v>0</v>
      </c>
      <c r="CV17" s="22">
        <f t="shared" si="123"/>
        <v>0</v>
      </c>
      <c r="CW17" s="22"/>
      <c r="CX17" s="22">
        <f t="shared" si="32"/>
        <v>0</v>
      </c>
      <c r="CY17" s="22">
        <f t="shared" si="124"/>
        <v>0</v>
      </c>
      <c r="CZ17" s="22"/>
      <c r="DA17" s="22">
        <f t="shared" si="33"/>
        <v>0</v>
      </c>
      <c r="DB17" s="22">
        <f t="shared" si="125"/>
        <v>0</v>
      </c>
      <c r="DC17" s="22"/>
      <c r="DD17" s="22">
        <f t="shared" si="34"/>
        <v>0</v>
      </c>
      <c r="DE17" s="22">
        <f t="shared" si="126"/>
        <v>0</v>
      </c>
      <c r="DF17" s="22"/>
      <c r="DG17" s="22">
        <f t="shared" si="35"/>
        <v>0</v>
      </c>
      <c r="DH17" s="22">
        <f t="shared" si="127"/>
        <v>0</v>
      </c>
      <c r="DI17" s="22"/>
      <c r="DJ17" s="22">
        <f t="shared" si="36"/>
        <v>0</v>
      </c>
      <c r="DK17" s="22">
        <f t="shared" si="128"/>
        <v>0</v>
      </c>
      <c r="DL17" s="22"/>
      <c r="DM17" s="22">
        <f t="shared" si="37"/>
        <v>0</v>
      </c>
      <c r="DN17" s="22">
        <f t="shared" si="129"/>
        <v>0</v>
      </c>
      <c r="DO17" s="22"/>
      <c r="DP17" s="22">
        <f t="shared" si="38"/>
        <v>0</v>
      </c>
      <c r="DQ17" s="22">
        <f t="shared" si="130"/>
        <v>0</v>
      </c>
      <c r="DR17" s="22"/>
      <c r="DS17" s="22">
        <f t="shared" si="39"/>
        <v>0</v>
      </c>
      <c r="DT17" s="22">
        <f t="shared" si="131"/>
        <v>0</v>
      </c>
      <c r="DU17" s="22"/>
      <c r="DV17" s="22">
        <f t="shared" si="40"/>
        <v>0</v>
      </c>
      <c r="DW17" s="22">
        <f t="shared" si="132"/>
        <v>0</v>
      </c>
      <c r="DX17" s="22"/>
      <c r="DY17" s="22">
        <f t="shared" si="41"/>
        <v>0</v>
      </c>
      <c r="DZ17" s="22">
        <f t="shared" si="133"/>
        <v>0</v>
      </c>
      <c r="EA17" s="22"/>
      <c r="EB17" s="22">
        <f t="shared" si="42"/>
        <v>0</v>
      </c>
      <c r="EC17" s="22">
        <f t="shared" si="134"/>
        <v>0</v>
      </c>
      <c r="ED17" s="22"/>
      <c r="EE17" s="22">
        <f t="shared" si="43"/>
        <v>0</v>
      </c>
      <c r="EF17" s="22">
        <f t="shared" si="135"/>
        <v>0</v>
      </c>
      <c r="EG17" s="22"/>
      <c r="EH17" s="22">
        <f t="shared" si="44"/>
        <v>0</v>
      </c>
      <c r="EI17" s="22">
        <f t="shared" si="136"/>
        <v>0</v>
      </c>
      <c r="EJ17" s="22"/>
      <c r="EK17" s="22">
        <f t="shared" si="45"/>
        <v>0</v>
      </c>
      <c r="EL17" s="22">
        <f t="shared" si="137"/>
        <v>0</v>
      </c>
      <c r="EM17" s="22"/>
      <c r="EN17" s="22">
        <f t="shared" si="46"/>
        <v>0</v>
      </c>
      <c r="EO17" s="22">
        <f t="shared" si="138"/>
        <v>0</v>
      </c>
    </row>
    <row r="18" spans="1:145">
      <c r="A18" s="15">
        <v>13</v>
      </c>
      <c r="B18" s="17" t="s">
        <v>521</v>
      </c>
      <c r="C18" s="17" t="s">
        <v>397</v>
      </c>
      <c r="D18" s="17" t="s">
        <v>522</v>
      </c>
      <c r="E18" s="18" t="s">
        <v>399</v>
      </c>
      <c r="F18" s="19">
        <f t="shared" si="0"/>
        <v>11</v>
      </c>
      <c r="G18" s="20"/>
      <c r="H18" s="21"/>
      <c r="I18" s="22">
        <f t="shared" si="1"/>
        <v>0</v>
      </c>
      <c r="J18" s="22">
        <f t="shared" si="93"/>
        <v>0</v>
      </c>
      <c r="K18" s="22"/>
      <c r="L18" s="22">
        <f t="shared" si="2"/>
        <v>0</v>
      </c>
      <c r="M18" s="22">
        <f t="shared" si="94"/>
        <v>0</v>
      </c>
      <c r="N18" s="22">
        <v>1</v>
      </c>
      <c r="O18" s="22">
        <f t="shared" si="3"/>
        <v>8</v>
      </c>
      <c r="P18" s="22">
        <f t="shared" si="95"/>
        <v>0</v>
      </c>
      <c r="Q18" s="22">
        <v>1</v>
      </c>
      <c r="R18" s="22">
        <f t="shared" si="4"/>
        <v>3</v>
      </c>
      <c r="S18" s="22">
        <f t="shared" si="96"/>
        <v>0</v>
      </c>
      <c r="T18" s="22"/>
      <c r="U18" s="22">
        <f t="shared" si="5"/>
        <v>0</v>
      </c>
      <c r="V18" s="22">
        <f t="shared" si="97"/>
        <v>0</v>
      </c>
      <c r="W18" s="22"/>
      <c r="X18" s="22">
        <f t="shared" si="6"/>
        <v>0</v>
      </c>
      <c r="Y18" s="22">
        <f t="shared" si="98"/>
        <v>0</v>
      </c>
      <c r="Z18" s="22"/>
      <c r="AA18" s="22">
        <f t="shared" si="7"/>
        <v>0</v>
      </c>
      <c r="AB18" s="22">
        <f t="shared" si="99"/>
        <v>0</v>
      </c>
      <c r="AC18" s="22"/>
      <c r="AD18" s="22">
        <f t="shared" si="8"/>
        <v>0</v>
      </c>
      <c r="AE18" s="22">
        <f t="shared" si="100"/>
        <v>0</v>
      </c>
      <c r="AF18" s="22"/>
      <c r="AG18" s="22">
        <f t="shared" si="9"/>
        <v>0</v>
      </c>
      <c r="AH18" s="22">
        <f t="shared" si="101"/>
        <v>0</v>
      </c>
      <c r="AI18" s="22"/>
      <c r="AJ18" s="22">
        <f t="shared" si="10"/>
        <v>0</v>
      </c>
      <c r="AK18" s="22">
        <f t="shared" si="102"/>
        <v>0</v>
      </c>
      <c r="AL18" s="22"/>
      <c r="AM18" s="22">
        <f t="shared" si="11"/>
        <v>0</v>
      </c>
      <c r="AN18" s="22">
        <f t="shared" si="103"/>
        <v>0</v>
      </c>
      <c r="AO18" s="22"/>
      <c r="AP18" s="22">
        <f t="shared" si="12"/>
        <v>0</v>
      </c>
      <c r="AQ18" s="22">
        <f t="shared" si="104"/>
        <v>0</v>
      </c>
      <c r="AR18" s="22"/>
      <c r="AS18" s="22">
        <f t="shared" si="13"/>
        <v>0</v>
      </c>
      <c r="AT18" s="22">
        <f t="shared" si="105"/>
        <v>0</v>
      </c>
      <c r="AU18" s="22"/>
      <c r="AV18" s="22">
        <f t="shared" si="14"/>
        <v>0</v>
      </c>
      <c r="AW18" s="22">
        <f t="shared" si="106"/>
        <v>0</v>
      </c>
      <c r="AX18" s="22"/>
      <c r="AY18" s="22">
        <f t="shared" si="15"/>
        <v>0</v>
      </c>
      <c r="AZ18" s="22">
        <f t="shared" si="107"/>
        <v>0</v>
      </c>
      <c r="BA18" s="22"/>
      <c r="BB18" s="22">
        <f t="shared" si="16"/>
        <v>0</v>
      </c>
      <c r="BC18" s="22">
        <f t="shared" si="108"/>
        <v>0</v>
      </c>
      <c r="BD18" s="22"/>
      <c r="BE18" s="22">
        <f t="shared" si="17"/>
        <v>0</v>
      </c>
      <c r="BF18" s="22">
        <f t="shared" si="109"/>
        <v>0</v>
      </c>
      <c r="BG18" s="22"/>
      <c r="BH18" s="22">
        <f t="shared" si="18"/>
        <v>0</v>
      </c>
      <c r="BI18" s="22">
        <f t="shared" si="110"/>
        <v>0</v>
      </c>
      <c r="BJ18" s="22"/>
      <c r="BK18" s="22">
        <f t="shared" si="19"/>
        <v>0</v>
      </c>
      <c r="BL18" s="22">
        <f t="shared" si="111"/>
        <v>0</v>
      </c>
      <c r="BM18" s="22"/>
      <c r="BN18" s="22">
        <f t="shared" si="20"/>
        <v>0</v>
      </c>
      <c r="BO18" s="22">
        <f t="shared" si="112"/>
        <v>0</v>
      </c>
      <c r="BP18" s="22"/>
      <c r="BQ18" s="22">
        <f t="shared" si="21"/>
        <v>0</v>
      </c>
      <c r="BR18" s="22">
        <f t="shared" si="113"/>
        <v>0</v>
      </c>
      <c r="BS18" s="22"/>
      <c r="BT18" s="22">
        <f t="shared" si="22"/>
        <v>0</v>
      </c>
      <c r="BU18" s="22">
        <f t="shared" si="114"/>
        <v>0</v>
      </c>
      <c r="BV18" s="22"/>
      <c r="BW18" s="22">
        <f t="shared" si="23"/>
        <v>0</v>
      </c>
      <c r="BX18" s="22">
        <f t="shared" si="115"/>
        <v>0</v>
      </c>
      <c r="BY18" s="22"/>
      <c r="BZ18" s="22">
        <f t="shared" si="24"/>
        <v>0</v>
      </c>
      <c r="CA18" s="22">
        <f t="shared" si="116"/>
        <v>0</v>
      </c>
      <c r="CB18" s="22"/>
      <c r="CC18" s="22">
        <f t="shared" si="25"/>
        <v>0</v>
      </c>
      <c r="CD18" s="22">
        <f t="shared" si="117"/>
        <v>0</v>
      </c>
      <c r="CE18" s="22"/>
      <c r="CF18" s="22">
        <f t="shared" si="26"/>
        <v>0</v>
      </c>
      <c r="CG18" s="22">
        <f t="shared" si="118"/>
        <v>0</v>
      </c>
      <c r="CH18" s="22"/>
      <c r="CI18" s="22">
        <f t="shared" si="27"/>
        <v>0</v>
      </c>
      <c r="CJ18" s="22">
        <f t="shared" si="119"/>
        <v>0</v>
      </c>
      <c r="CK18" s="22"/>
      <c r="CL18" s="22">
        <f t="shared" si="28"/>
        <v>0</v>
      </c>
      <c r="CM18" s="22">
        <f t="shared" si="120"/>
        <v>0</v>
      </c>
      <c r="CN18" s="22"/>
      <c r="CO18" s="22">
        <f t="shared" si="29"/>
        <v>0</v>
      </c>
      <c r="CP18" s="22">
        <f t="shared" si="121"/>
        <v>0</v>
      </c>
      <c r="CQ18" s="22"/>
      <c r="CR18" s="22">
        <f t="shared" si="30"/>
        <v>0</v>
      </c>
      <c r="CS18" s="22">
        <f t="shared" si="122"/>
        <v>0</v>
      </c>
      <c r="CT18" s="22"/>
      <c r="CU18" s="22">
        <f t="shared" si="31"/>
        <v>0</v>
      </c>
      <c r="CV18" s="22">
        <f t="shared" si="123"/>
        <v>0</v>
      </c>
      <c r="CW18" s="22"/>
      <c r="CX18" s="22">
        <f t="shared" si="32"/>
        <v>0</v>
      </c>
      <c r="CY18" s="22">
        <f t="shared" si="124"/>
        <v>0</v>
      </c>
      <c r="CZ18" s="22"/>
      <c r="DA18" s="22">
        <f t="shared" si="33"/>
        <v>0</v>
      </c>
      <c r="DB18" s="22">
        <f t="shared" si="125"/>
        <v>0</v>
      </c>
      <c r="DC18" s="22"/>
      <c r="DD18" s="22">
        <f t="shared" si="34"/>
        <v>0</v>
      </c>
      <c r="DE18" s="22">
        <f t="shared" si="126"/>
        <v>0</v>
      </c>
      <c r="DF18" s="22"/>
      <c r="DG18" s="22">
        <f t="shared" si="35"/>
        <v>0</v>
      </c>
      <c r="DH18" s="22">
        <f t="shared" si="127"/>
        <v>0</v>
      </c>
      <c r="DI18" s="22"/>
      <c r="DJ18" s="22">
        <f t="shared" si="36"/>
        <v>0</v>
      </c>
      <c r="DK18" s="22">
        <f t="shared" si="128"/>
        <v>0</v>
      </c>
      <c r="DL18" s="22"/>
      <c r="DM18" s="22">
        <f t="shared" si="37"/>
        <v>0</v>
      </c>
      <c r="DN18" s="22">
        <f t="shared" si="129"/>
        <v>0</v>
      </c>
      <c r="DO18" s="22"/>
      <c r="DP18" s="22">
        <f t="shared" si="38"/>
        <v>0</v>
      </c>
      <c r="DQ18" s="22">
        <f t="shared" si="130"/>
        <v>0</v>
      </c>
      <c r="DR18" s="22"/>
      <c r="DS18" s="22">
        <f t="shared" si="39"/>
        <v>0</v>
      </c>
      <c r="DT18" s="22">
        <f t="shared" si="131"/>
        <v>0</v>
      </c>
      <c r="DU18" s="22"/>
      <c r="DV18" s="22">
        <f t="shared" si="40"/>
        <v>0</v>
      </c>
      <c r="DW18" s="22">
        <f t="shared" si="132"/>
        <v>0</v>
      </c>
      <c r="DX18" s="22"/>
      <c r="DY18" s="22">
        <f t="shared" si="41"/>
        <v>0</v>
      </c>
      <c r="DZ18" s="22">
        <f t="shared" si="133"/>
        <v>0</v>
      </c>
      <c r="EA18" s="22"/>
      <c r="EB18" s="22">
        <f t="shared" si="42"/>
        <v>0</v>
      </c>
      <c r="EC18" s="22">
        <f t="shared" si="134"/>
        <v>0</v>
      </c>
      <c r="ED18" s="22"/>
      <c r="EE18" s="22">
        <f t="shared" si="43"/>
        <v>0</v>
      </c>
      <c r="EF18" s="22">
        <f t="shared" si="135"/>
        <v>0</v>
      </c>
      <c r="EG18" s="22"/>
      <c r="EH18" s="22">
        <f t="shared" si="44"/>
        <v>0</v>
      </c>
      <c r="EI18" s="22">
        <f t="shared" si="136"/>
        <v>0</v>
      </c>
      <c r="EJ18" s="22"/>
      <c r="EK18" s="22">
        <f t="shared" si="45"/>
        <v>0</v>
      </c>
      <c r="EL18" s="22">
        <f t="shared" si="137"/>
        <v>0</v>
      </c>
      <c r="EM18" s="22"/>
      <c r="EN18" s="22">
        <f t="shared" si="46"/>
        <v>0</v>
      </c>
      <c r="EO18" s="22">
        <f t="shared" si="138"/>
        <v>0</v>
      </c>
    </row>
    <row r="19" spans="1:145">
      <c r="A19" s="15">
        <v>14</v>
      </c>
      <c r="B19" s="17" t="s">
        <v>377</v>
      </c>
      <c r="C19" s="16" t="s">
        <v>378</v>
      </c>
      <c r="D19" s="17" t="s">
        <v>379</v>
      </c>
      <c r="E19" s="18" t="s">
        <v>380</v>
      </c>
      <c r="F19" s="19">
        <f t="shared" si="0"/>
        <v>19</v>
      </c>
      <c r="G19" s="20"/>
      <c r="H19" s="21"/>
      <c r="I19" s="22">
        <f t="shared" si="1"/>
        <v>0</v>
      </c>
      <c r="J19" s="22">
        <f t="shared" si="93"/>
        <v>0</v>
      </c>
      <c r="K19" s="22"/>
      <c r="L19" s="22">
        <f t="shared" si="2"/>
        <v>0</v>
      </c>
      <c r="M19" s="22">
        <f t="shared" si="94"/>
        <v>0</v>
      </c>
      <c r="N19" s="22">
        <v>1</v>
      </c>
      <c r="O19" s="22">
        <f t="shared" si="3"/>
        <v>8</v>
      </c>
      <c r="P19" s="22">
        <f t="shared" si="95"/>
        <v>0</v>
      </c>
      <c r="Q19" s="22">
        <v>1</v>
      </c>
      <c r="R19" s="22">
        <f t="shared" si="4"/>
        <v>3</v>
      </c>
      <c r="S19" s="22">
        <f t="shared" si="96"/>
        <v>0</v>
      </c>
      <c r="T19" s="22"/>
      <c r="U19" s="22">
        <f t="shared" si="5"/>
        <v>0</v>
      </c>
      <c r="V19" s="22">
        <f t="shared" si="97"/>
        <v>0</v>
      </c>
      <c r="W19" s="22"/>
      <c r="X19" s="22">
        <f t="shared" si="6"/>
        <v>0</v>
      </c>
      <c r="Y19" s="22">
        <f t="shared" si="98"/>
        <v>0</v>
      </c>
      <c r="Z19" s="22"/>
      <c r="AA19" s="22">
        <f t="shared" si="7"/>
        <v>0</v>
      </c>
      <c r="AB19" s="22">
        <f t="shared" si="99"/>
        <v>0</v>
      </c>
      <c r="AC19" s="22"/>
      <c r="AD19" s="22">
        <f t="shared" si="8"/>
        <v>0</v>
      </c>
      <c r="AE19" s="22">
        <f t="shared" si="100"/>
        <v>0</v>
      </c>
      <c r="AF19" s="22"/>
      <c r="AG19" s="22">
        <f t="shared" si="9"/>
        <v>0</v>
      </c>
      <c r="AH19" s="22">
        <f t="shared" si="101"/>
        <v>0</v>
      </c>
      <c r="AI19" s="22"/>
      <c r="AJ19" s="22">
        <f t="shared" si="10"/>
        <v>0</v>
      </c>
      <c r="AK19" s="22">
        <f t="shared" si="102"/>
        <v>0</v>
      </c>
      <c r="AL19" s="22"/>
      <c r="AM19" s="22">
        <f t="shared" si="11"/>
        <v>0</v>
      </c>
      <c r="AN19" s="22">
        <f t="shared" si="103"/>
        <v>0</v>
      </c>
      <c r="AO19" s="22">
        <v>1</v>
      </c>
      <c r="AP19" s="22">
        <f t="shared" si="12"/>
        <v>0</v>
      </c>
      <c r="AQ19" s="22">
        <f t="shared" si="104"/>
        <v>0</v>
      </c>
      <c r="AR19" s="22"/>
      <c r="AS19" s="22">
        <f t="shared" si="13"/>
        <v>0</v>
      </c>
      <c r="AT19" s="22">
        <f t="shared" si="105"/>
        <v>0</v>
      </c>
      <c r="AU19" s="22"/>
      <c r="AV19" s="22">
        <f t="shared" si="14"/>
        <v>0</v>
      </c>
      <c r="AW19" s="22">
        <f t="shared" si="106"/>
        <v>0</v>
      </c>
      <c r="AX19" s="22">
        <v>2</v>
      </c>
      <c r="AY19" s="22">
        <f t="shared" si="15"/>
        <v>6</v>
      </c>
      <c r="AZ19" s="22">
        <f t="shared" si="107"/>
        <v>0</v>
      </c>
      <c r="BA19" s="22"/>
      <c r="BB19" s="22">
        <f t="shared" si="16"/>
        <v>0</v>
      </c>
      <c r="BC19" s="22">
        <f t="shared" si="108"/>
        <v>0</v>
      </c>
      <c r="BD19" s="22"/>
      <c r="BE19" s="22">
        <f t="shared" si="17"/>
        <v>0</v>
      </c>
      <c r="BF19" s="22">
        <f t="shared" si="109"/>
        <v>0</v>
      </c>
      <c r="BG19" s="22"/>
      <c r="BH19" s="22">
        <f t="shared" si="18"/>
        <v>0</v>
      </c>
      <c r="BI19" s="22">
        <f t="shared" si="110"/>
        <v>0</v>
      </c>
      <c r="BJ19" s="22"/>
      <c r="BK19" s="22">
        <f t="shared" si="19"/>
        <v>0</v>
      </c>
      <c r="BL19" s="22">
        <f t="shared" si="111"/>
        <v>0</v>
      </c>
      <c r="BM19" s="22"/>
      <c r="BN19" s="22">
        <f t="shared" si="20"/>
        <v>0</v>
      </c>
      <c r="BO19" s="22">
        <f t="shared" si="112"/>
        <v>0</v>
      </c>
      <c r="BP19" s="22"/>
      <c r="BQ19" s="22">
        <f t="shared" si="21"/>
        <v>0</v>
      </c>
      <c r="BR19" s="22">
        <f t="shared" si="113"/>
        <v>0</v>
      </c>
      <c r="BS19" s="22">
        <v>1</v>
      </c>
      <c r="BT19" s="22">
        <f t="shared" si="22"/>
        <v>0</v>
      </c>
      <c r="BU19" s="22">
        <f t="shared" si="114"/>
        <v>0</v>
      </c>
      <c r="BV19" s="22"/>
      <c r="BW19" s="22">
        <f t="shared" si="23"/>
        <v>0</v>
      </c>
      <c r="BX19" s="22">
        <f t="shared" si="115"/>
        <v>0</v>
      </c>
      <c r="BY19" s="22"/>
      <c r="BZ19" s="22">
        <f t="shared" si="24"/>
        <v>0</v>
      </c>
      <c r="CA19" s="22">
        <f t="shared" si="116"/>
        <v>0</v>
      </c>
      <c r="CB19" s="22"/>
      <c r="CC19" s="22">
        <f t="shared" si="25"/>
        <v>0</v>
      </c>
      <c r="CD19" s="22">
        <f t="shared" si="117"/>
        <v>0</v>
      </c>
      <c r="CE19" s="22"/>
      <c r="CF19" s="22">
        <f t="shared" si="26"/>
        <v>0</v>
      </c>
      <c r="CG19" s="22">
        <f t="shared" si="118"/>
        <v>0</v>
      </c>
      <c r="CH19" s="22"/>
      <c r="CI19" s="22">
        <f t="shared" si="27"/>
        <v>0</v>
      </c>
      <c r="CJ19" s="22">
        <f t="shared" si="119"/>
        <v>0</v>
      </c>
      <c r="CK19" s="22"/>
      <c r="CL19" s="22">
        <f t="shared" si="28"/>
        <v>0</v>
      </c>
      <c r="CM19" s="22">
        <f t="shared" si="120"/>
        <v>0</v>
      </c>
      <c r="CN19" s="22"/>
      <c r="CO19" s="22">
        <f t="shared" si="29"/>
        <v>0</v>
      </c>
      <c r="CP19" s="22">
        <f t="shared" si="121"/>
        <v>0</v>
      </c>
      <c r="CQ19" s="22"/>
      <c r="CR19" s="22">
        <f t="shared" si="30"/>
        <v>0</v>
      </c>
      <c r="CS19" s="22">
        <f t="shared" si="122"/>
        <v>0</v>
      </c>
      <c r="CT19" s="22"/>
      <c r="CU19" s="22">
        <f t="shared" si="31"/>
        <v>0</v>
      </c>
      <c r="CV19" s="22">
        <f t="shared" si="123"/>
        <v>0</v>
      </c>
      <c r="CW19" s="22"/>
      <c r="CX19" s="22">
        <f t="shared" si="32"/>
        <v>0</v>
      </c>
      <c r="CY19" s="22">
        <f t="shared" si="124"/>
        <v>0</v>
      </c>
      <c r="CZ19" s="22"/>
      <c r="DA19" s="22">
        <f t="shared" si="33"/>
        <v>0</v>
      </c>
      <c r="DB19" s="22">
        <f t="shared" si="125"/>
        <v>0</v>
      </c>
      <c r="DC19" s="22"/>
      <c r="DD19" s="22">
        <f t="shared" si="34"/>
        <v>0</v>
      </c>
      <c r="DE19" s="22">
        <f t="shared" si="126"/>
        <v>0</v>
      </c>
      <c r="DF19" s="22"/>
      <c r="DG19" s="22">
        <f t="shared" si="35"/>
        <v>0</v>
      </c>
      <c r="DH19" s="22">
        <f t="shared" si="127"/>
        <v>0</v>
      </c>
      <c r="DI19" s="22"/>
      <c r="DJ19" s="22">
        <f t="shared" si="36"/>
        <v>0</v>
      </c>
      <c r="DK19" s="22">
        <f t="shared" si="128"/>
        <v>0</v>
      </c>
      <c r="DL19" s="22"/>
      <c r="DM19" s="22">
        <f t="shared" si="37"/>
        <v>0</v>
      </c>
      <c r="DN19" s="22">
        <f t="shared" si="129"/>
        <v>0</v>
      </c>
      <c r="DO19" s="22"/>
      <c r="DP19" s="22">
        <f t="shared" si="38"/>
        <v>0</v>
      </c>
      <c r="DQ19" s="22">
        <f t="shared" si="130"/>
        <v>0</v>
      </c>
      <c r="DR19" s="22"/>
      <c r="DS19" s="22">
        <f t="shared" si="39"/>
        <v>0</v>
      </c>
      <c r="DT19" s="22">
        <f t="shared" si="131"/>
        <v>0</v>
      </c>
      <c r="DU19" s="22"/>
      <c r="DV19" s="22">
        <f t="shared" si="40"/>
        <v>0</v>
      </c>
      <c r="DW19" s="22">
        <f t="shared" si="132"/>
        <v>0</v>
      </c>
      <c r="DX19" s="22"/>
      <c r="DY19" s="22">
        <f t="shared" si="41"/>
        <v>0</v>
      </c>
      <c r="DZ19" s="22">
        <f t="shared" si="133"/>
        <v>0</v>
      </c>
      <c r="EA19" s="22"/>
      <c r="EB19" s="22">
        <f t="shared" si="42"/>
        <v>0</v>
      </c>
      <c r="EC19" s="22">
        <f t="shared" si="134"/>
        <v>0</v>
      </c>
      <c r="ED19" s="22">
        <v>1</v>
      </c>
      <c r="EE19" s="22">
        <f t="shared" si="43"/>
        <v>2</v>
      </c>
      <c r="EF19" s="22">
        <f t="shared" si="135"/>
        <v>0</v>
      </c>
      <c r="EG19" s="22"/>
      <c r="EH19" s="22">
        <f t="shared" si="44"/>
        <v>0</v>
      </c>
      <c r="EI19" s="22">
        <f t="shared" si="136"/>
        <v>0</v>
      </c>
      <c r="EJ19" s="22"/>
      <c r="EK19" s="22">
        <f t="shared" si="45"/>
        <v>0</v>
      </c>
      <c r="EL19" s="22">
        <f t="shared" si="137"/>
        <v>0</v>
      </c>
      <c r="EM19" s="22"/>
      <c r="EN19" s="22">
        <f t="shared" si="46"/>
        <v>0</v>
      </c>
      <c r="EO19" s="22">
        <f t="shared" si="138"/>
        <v>0</v>
      </c>
    </row>
    <row r="20" spans="1:145">
      <c r="A20" s="15">
        <v>15</v>
      </c>
      <c r="B20" s="17" t="s">
        <v>515</v>
      </c>
      <c r="C20" s="17" t="s">
        <v>382</v>
      </c>
      <c r="D20" s="17" t="s">
        <v>523</v>
      </c>
      <c r="E20" s="18" t="s">
        <v>384</v>
      </c>
      <c r="F20" s="19">
        <f t="shared" si="0"/>
        <v>15</v>
      </c>
      <c r="G20" s="20"/>
      <c r="H20" s="21"/>
      <c r="I20" s="22">
        <f t="shared" si="1"/>
        <v>0</v>
      </c>
      <c r="J20" s="22">
        <f t="shared" si="93"/>
        <v>0</v>
      </c>
      <c r="K20" s="22"/>
      <c r="L20" s="22">
        <f t="shared" si="2"/>
        <v>0</v>
      </c>
      <c r="M20" s="22">
        <f t="shared" si="94"/>
        <v>0</v>
      </c>
      <c r="N20" s="22">
        <v>1</v>
      </c>
      <c r="O20" s="22">
        <f t="shared" si="3"/>
        <v>8</v>
      </c>
      <c r="P20" s="22">
        <f t="shared" si="95"/>
        <v>0</v>
      </c>
      <c r="Q20" s="22">
        <v>1</v>
      </c>
      <c r="R20" s="22">
        <f t="shared" si="4"/>
        <v>3</v>
      </c>
      <c r="S20" s="22">
        <f t="shared" si="96"/>
        <v>0</v>
      </c>
      <c r="T20" s="22"/>
      <c r="U20" s="22">
        <f t="shared" si="5"/>
        <v>0</v>
      </c>
      <c r="V20" s="22">
        <f t="shared" si="97"/>
        <v>0</v>
      </c>
      <c r="W20" s="22">
        <v>1</v>
      </c>
      <c r="X20" s="22">
        <f t="shared" si="6"/>
        <v>2</v>
      </c>
      <c r="Y20" s="22">
        <f t="shared" si="98"/>
        <v>0</v>
      </c>
      <c r="Z20" s="22">
        <v>1</v>
      </c>
      <c r="AA20" s="22">
        <f t="shared" si="7"/>
        <v>1</v>
      </c>
      <c r="AB20" s="22">
        <f t="shared" si="99"/>
        <v>0</v>
      </c>
      <c r="AC20" s="22"/>
      <c r="AD20" s="22">
        <f t="shared" si="8"/>
        <v>0</v>
      </c>
      <c r="AE20" s="22">
        <f t="shared" si="100"/>
        <v>0</v>
      </c>
      <c r="AF20" s="22"/>
      <c r="AG20" s="22">
        <f t="shared" si="9"/>
        <v>0</v>
      </c>
      <c r="AH20" s="22">
        <f t="shared" si="101"/>
        <v>0</v>
      </c>
      <c r="AI20" s="22">
        <v>1</v>
      </c>
      <c r="AJ20" s="22">
        <f t="shared" si="10"/>
        <v>1</v>
      </c>
      <c r="AK20" s="22">
        <f t="shared" si="102"/>
        <v>0</v>
      </c>
      <c r="AL20" s="22"/>
      <c r="AM20" s="22">
        <f t="shared" si="11"/>
        <v>0</v>
      </c>
      <c r="AN20" s="22">
        <f t="shared" si="103"/>
        <v>0</v>
      </c>
      <c r="AO20" s="22"/>
      <c r="AP20" s="22">
        <f t="shared" si="12"/>
        <v>0</v>
      </c>
      <c r="AQ20" s="22">
        <f t="shared" si="104"/>
        <v>0</v>
      </c>
      <c r="AR20" s="22"/>
      <c r="AS20" s="22">
        <f t="shared" si="13"/>
        <v>0</v>
      </c>
      <c r="AT20" s="22">
        <f t="shared" si="105"/>
        <v>0</v>
      </c>
      <c r="AU20" s="22"/>
      <c r="AV20" s="22">
        <f t="shared" si="14"/>
        <v>0</v>
      </c>
      <c r="AW20" s="22">
        <f t="shared" si="106"/>
        <v>0</v>
      </c>
      <c r="AX20" s="22"/>
      <c r="AY20" s="22">
        <f t="shared" si="15"/>
        <v>0</v>
      </c>
      <c r="AZ20" s="22">
        <f t="shared" si="107"/>
        <v>0</v>
      </c>
      <c r="BA20" s="22"/>
      <c r="BB20" s="22">
        <f t="shared" si="16"/>
        <v>0</v>
      </c>
      <c r="BC20" s="22">
        <f t="shared" si="108"/>
        <v>0</v>
      </c>
      <c r="BD20" s="22"/>
      <c r="BE20" s="22">
        <f t="shared" si="17"/>
        <v>0</v>
      </c>
      <c r="BF20" s="22">
        <f t="shared" si="109"/>
        <v>0</v>
      </c>
      <c r="BG20" s="22"/>
      <c r="BH20" s="22">
        <f t="shared" si="18"/>
        <v>0</v>
      </c>
      <c r="BI20" s="22">
        <f t="shared" si="110"/>
        <v>0</v>
      </c>
      <c r="BJ20" s="22"/>
      <c r="BK20" s="22">
        <f t="shared" si="19"/>
        <v>0</v>
      </c>
      <c r="BL20" s="22">
        <f t="shared" si="111"/>
        <v>0</v>
      </c>
      <c r="BM20" s="22"/>
      <c r="BN20" s="22">
        <f t="shared" si="20"/>
        <v>0</v>
      </c>
      <c r="BO20" s="22">
        <f t="shared" si="112"/>
        <v>0</v>
      </c>
      <c r="BP20" s="22"/>
      <c r="BQ20" s="22">
        <f t="shared" si="21"/>
        <v>0</v>
      </c>
      <c r="BR20" s="22">
        <f t="shared" si="113"/>
        <v>0</v>
      </c>
      <c r="BS20" s="22"/>
      <c r="BT20" s="22">
        <f t="shared" si="22"/>
        <v>0</v>
      </c>
      <c r="BU20" s="22">
        <f t="shared" si="114"/>
        <v>0</v>
      </c>
      <c r="BV20" s="22"/>
      <c r="BW20" s="22">
        <f t="shared" si="23"/>
        <v>0</v>
      </c>
      <c r="BX20" s="22">
        <f t="shared" si="115"/>
        <v>0</v>
      </c>
      <c r="BY20" s="22"/>
      <c r="BZ20" s="22">
        <f t="shared" si="24"/>
        <v>0</v>
      </c>
      <c r="CA20" s="22">
        <f t="shared" si="116"/>
        <v>0</v>
      </c>
      <c r="CB20" s="22"/>
      <c r="CC20" s="22">
        <f t="shared" si="25"/>
        <v>0</v>
      </c>
      <c r="CD20" s="22">
        <f t="shared" si="117"/>
        <v>0</v>
      </c>
      <c r="CE20" s="22"/>
      <c r="CF20" s="22">
        <f t="shared" si="26"/>
        <v>0</v>
      </c>
      <c r="CG20" s="22">
        <f t="shared" si="118"/>
        <v>0</v>
      </c>
      <c r="CH20" s="22"/>
      <c r="CI20" s="22">
        <f t="shared" si="27"/>
        <v>0</v>
      </c>
      <c r="CJ20" s="22">
        <f t="shared" si="119"/>
        <v>0</v>
      </c>
      <c r="CK20" s="22"/>
      <c r="CL20" s="22">
        <f t="shared" si="28"/>
        <v>0</v>
      </c>
      <c r="CM20" s="22">
        <f t="shared" si="120"/>
        <v>0</v>
      </c>
      <c r="CN20" s="22"/>
      <c r="CO20" s="22">
        <f t="shared" si="29"/>
        <v>0</v>
      </c>
      <c r="CP20" s="22">
        <f t="shared" si="121"/>
        <v>0</v>
      </c>
      <c r="CQ20" s="22"/>
      <c r="CR20" s="22">
        <f t="shared" si="30"/>
        <v>0</v>
      </c>
      <c r="CS20" s="22">
        <f t="shared" si="122"/>
        <v>0</v>
      </c>
      <c r="CT20" s="22"/>
      <c r="CU20" s="22">
        <f t="shared" si="31"/>
        <v>0</v>
      </c>
      <c r="CV20" s="22">
        <f t="shared" si="123"/>
        <v>0</v>
      </c>
      <c r="CW20" s="22"/>
      <c r="CX20" s="22">
        <f t="shared" si="32"/>
        <v>0</v>
      </c>
      <c r="CY20" s="22">
        <f t="shared" si="124"/>
        <v>0</v>
      </c>
      <c r="CZ20" s="22"/>
      <c r="DA20" s="22">
        <f t="shared" si="33"/>
        <v>0</v>
      </c>
      <c r="DB20" s="22">
        <f t="shared" si="125"/>
        <v>0</v>
      </c>
      <c r="DC20" s="22"/>
      <c r="DD20" s="22">
        <f t="shared" si="34"/>
        <v>0</v>
      </c>
      <c r="DE20" s="22">
        <f t="shared" si="126"/>
        <v>0</v>
      </c>
      <c r="DF20" s="22"/>
      <c r="DG20" s="22">
        <f t="shared" si="35"/>
        <v>0</v>
      </c>
      <c r="DH20" s="22">
        <f t="shared" si="127"/>
        <v>0</v>
      </c>
      <c r="DI20" s="22"/>
      <c r="DJ20" s="22">
        <f t="shared" si="36"/>
        <v>0</v>
      </c>
      <c r="DK20" s="22">
        <f t="shared" si="128"/>
        <v>0</v>
      </c>
      <c r="DL20" s="22"/>
      <c r="DM20" s="22">
        <f t="shared" si="37"/>
        <v>0</v>
      </c>
      <c r="DN20" s="22">
        <f t="shared" si="129"/>
        <v>0</v>
      </c>
      <c r="DO20" s="22"/>
      <c r="DP20" s="22">
        <f t="shared" si="38"/>
        <v>0</v>
      </c>
      <c r="DQ20" s="22">
        <f t="shared" si="130"/>
        <v>0</v>
      </c>
      <c r="DR20" s="22"/>
      <c r="DS20" s="22">
        <f t="shared" si="39"/>
        <v>0</v>
      </c>
      <c r="DT20" s="22">
        <f t="shared" si="131"/>
        <v>0</v>
      </c>
      <c r="DU20" s="22"/>
      <c r="DV20" s="22">
        <f t="shared" si="40"/>
        <v>0</v>
      </c>
      <c r="DW20" s="22">
        <f t="shared" si="132"/>
        <v>0</v>
      </c>
      <c r="DX20" s="22"/>
      <c r="DY20" s="22">
        <f t="shared" si="41"/>
        <v>0</v>
      </c>
      <c r="DZ20" s="22">
        <f t="shared" si="133"/>
        <v>0</v>
      </c>
      <c r="EA20" s="22"/>
      <c r="EB20" s="22">
        <f t="shared" si="42"/>
        <v>0</v>
      </c>
      <c r="EC20" s="22">
        <f t="shared" si="134"/>
        <v>0</v>
      </c>
      <c r="ED20" s="22"/>
      <c r="EE20" s="22">
        <f t="shared" si="43"/>
        <v>0</v>
      </c>
      <c r="EF20" s="22">
        <f t="shared" si="135"/>
        <v>0</v>
      </c>
      <c r="EG20" s="22"/>
      <c r="EH20" s="22">
        <f t="shared" si="44"/>
        <v>0</v>
      </c>
      <c r="EI20" s="22">
        <f t="shared" si="136"/>
        <v>0</v>
      </c>
      <c r="EJ20" s="22"/>
      <c r="EK20" s="22">
        <f t="shared" si="45"/>
        <v>0</v>
      </c>
      <c r="EL20" s="22">
        <f t="shared" si="137"/>
        <v>0</v>
      </c>
      <c r="EM20" s="22"/>
      <c r="EN20" s="22">
        <f t="shared" si="46"/>
        <v>0</v>
      </c>
      <c r="EO20" s="22">
        <f t="shared" si="138"/>
        <v>0</v>
      </c>
    </row>
    <row r="21" spans="1:145">
      <c r="A21" s="15">
        <v>16</v>
      </c>
      <c r="B21" s="17" t="s">
        <v>517</v>
      </c>
      <c r="C21" s="16" t="s">
        <v>382</v>
      </c>
      <c r="D21" s="18" t="s">
        <v>524</v>
      </c>
      <c r="E21" s="23" t="s">
        <v>429</v>
      </c>
      <c r="F21" s="19">
        <f t="shared" si="0"/>
        <v>15</v>
      </c>
      <c r="G21" s="20"/>
      <c r="H21" s="21"/>
      <c r="I21" s="22">
        <f t="shared" si="1"/>
        <v>0</v>
      </c>
      <c r="J21" s="22">
        <f t="shared" si="93"/>
        <v>0</v>
      </c>
      <c r="K21" s="22"/>
      <c r="L21" s="22">
        <f t="shared" si="2"/>
        <v>0</v>
      </c>
      <c r="M21" s="22">
        <f t="shared" si="94"/>
        <v>0</v>
      </c>
      <c r="N21" s="22">
        <v>1</v>
      </c>
      <c r="O21" s="22">
        <f t="shared" si="3"/>
        <v>8</v>
      </c>
      <c r="P21" s="22">
        <f t="shared" si="95"/>
        <v>0</v>
      </c>
      <c r="Q21" s="22">
        <v>1</v>
      </c>
      <c r="R21" s="22">
        <f t="shared" si="4"/>
        <v>3</v>
      </c>
      <c r="S21" s="22">
        <f t="shared" si="96"/>
        <v>0</v>
      </c>
      <c r="T21" s="22"/>
      <c r="U21" s="22">
        <f t="shared" si="5"/>
        <v>0</v>
      </c>
      <c r="V21" s="22">
        <f t="shared" si="97"/>
        <v>0</v>
      </c>
      <c r="W21" s="22">
        <v>1</v>
      </c>
      <c r="X21" s="22">
        <f t="shared" si="6"/>
        <v>2</v>
      </c>
      <c r="Y21" s="22">
        <f t="shared" si="98"/>
        <v>0</v>
      </c>
      <c r="Z21" s="22">
        <v>1</v>
      </c>
      <c r="AA21" s="22">
        <f t="shared" si="7"/>
        <v>1</v>
      </c>
      <c r="AB21" s="22">
        <f t="shared" si="99"/>
        <v>0</v>
      </c>
      <c r="AC21" s="22"/>
      <c r="AD21" s="22">
        <f t="shared" si="8"/>
        <v>0</v>
      </c>
      <c r="AE21" s="22">
        <f t="shared" si="100"/>
        <v>0</v>
      </c>
      <c r="AF21" s="22"/>
      <c r="AG21" s="22">
        <f t="shared" si="9"/>
        <v>0</v>
      </c>
      <c r="AH21" s="22">
        <f t="shared" si="101"/>
        <v>0</v>
      </c>
      <c r="AI21" s="22">
        <v>1</v>
      </c>
      <c r="AJ21" s="22">
        <f t="shared" si="10"/>
        <v>1</v>
      </c>
      <c r="AK21" s="22">
        <f t="shared" si="102"/>
        <v>0</v>
      </c>
      <c r="AL21" s="22"/>
      <c r="AM21" s="22">
        <f t="shared" si="11"/>
        <v>0</v>
      </c>
      <c r="AN21" s="22">
        <f t="shared" si="103"/>
        <v>0</v>
      </c>
      <c r="AO21" s="22"/>
      <c r="AP21" s="22">
        <f t="shared" si="12"/>
        <v>0</v>
      </c>
      <c r="AQ21" s="22">
        <f t="shared" si="104"/>
        <v>0</v>
      </c>
      <c r="AR21" s="22"/>
      <c r="AS21" s="22">
        <f t="shared" si="13"/>
        <v>0</v>
      </c>
      <c r="AT21" s="22">
        <f t="shared" si="105"/>
        <v>0</v>
      </c>
      <c r="AU21" s="22"/>
      <c r="AV21" s="22">
        <f t="shared" si="14"/>
        <v>0</v>
      </c>
      <c r="AW21" s="22">
        <f t="shared" si="106"/>
        <v>0</v>
      </c>
      <c r="AX21" s="22"/>
      <c r="AY21" s="22">
        <f t="shared" si="15"/>
        <v>0</v>
      </c>
      <c r="AZ21" s="22">
        <f t="shared" si="107"/>
        <v>0</v>
      </c>
      <c r="BA21" s="22"/>
      <c r="BB21" s="22">
        <f t="shared" si="16"/>
        <v>0</v>
      </c>
      <c r="BC21" s="22">
        <f t="shared" si="108"/>
        <v>0</v>
      </c>
      <c r="BD21" s="22"/>
      <c r="BE21" s="22">
        <f t="shared" si="17"/>
        <v>0</v>
      </c>
      <c r="BF21" s="22">
        <f t="shared" si="109"/>
        <v>0</v>
      </c>
      <c r="BG21" s="22"/>
      <c r="BH21" s="22">
        <f t="shared" si="18"/>
        <v>0</v>
      </c>
      <c r="BI21" s="22">
        <f t="shared" si="110"/>
        <v>0</v>
      </c>
      <c r="BJ21" s="22"/>
      <c r="BK21" s="22">
        <f t="shared" si="19"/>
        <v>0</v>
      </c>
      <c r="BL21" s="22">
        <f t="shared" si="111"/>
        <v>0</v>
      </c>
      <c r="BM21" s="22"/>
      <c r="BN21" s="22">
        <f t="shared" si="20"/>
        <v>0</v>
      </c>
      <c r="BO21" s="22">
        <f t="shared" si="112"/>
        <v>0</v>
      </c>
      <c r="BP21" s="22"/>
      <c r="BQ21" s="22">
        <f t="shared" si="21"/>
        <v>0</v>
      </c>
      <c r="BR21" s="22">
        <f t="shared" si="113"/>
        <v>0</v>
      </c>
      <c r="BS21" s="22"/>
      <c r="BT21" s="22">
        <f t="shared" si="22"/>
        <v>0</v>
      </c>
      <c r="BU21" s="22">
        <f t="shared" si="114"/>
        <v>0</v>
      </c>
      <c r="BV21" s="22"/>
      <c r="BW21" s="22">
        <f t="shared" si="23"/>
        <v>0</v>
      </c>
      <c r="BX21" s="22">
        <f t="shared" si="115"/>
        <v>0</v>
      </c>
      <c r="BY21" s="22"/>
      <c r="BZ21" s="22">
        <f t="shared" si="24"/>
        <v>0</v>
      </c>
      <c r="CA21" s="22">
        <f t="shared" si="116"/>
        <v>0</v>
      </c>
      <c r="CB21" s="22"/>
      <c r="CC21" s="22">
        <f t="shared" si="25"/>
        <v>0</v>
      </c>
      <c r="CD21" s="22">
        <f t="shared" si="117"/>
        <v>0</v>
      </c>
      <c r="CE21" s="22"/>
      <c r="CF21" s="22">
        <f t="shared" si="26"/>
        <v>0</v>
      </c>
      <c r="CG21" s="22">
        <f t="shared" si="118"/>
        <v>0</v>
      </c>
      <c r="CH21" s="22"/>
      <c r="CI21" s="22">
        <f t="shared" si="27"/>
        <v>0</v>
      </c>
      <c r="CJ21" s="22">
        <f t="shared" si="119"/>
        <v>0</v>
      </c>
      <c r="CK21" s="22"/>
      <c r="CL21" s="22">
        <f t="shared" si="28"/>
        <v>0</v>
      </c>
      <c r="CM21" s="22">
        <f t="shared" si="120"/>
        <v>0</v>
      </c>
      <c r="CN21" s="22"/>
      <c r="CO21" s="22">
        <f t="shared" si="29"/>
        <v>0</v>
      </c>
      <c r="CP21" s="22">
        <f t="shared" si="121"/>
        <v>0</v>
      </c>
      <c r="CQ21" s="22"/>
      <c r="CR21" s="22">
        <f t="shared" si="30"/>
        <v>0</v>
      </c>
      <c r="CS21" s="22">
        <f t="shared" si="122"/>
        <v>0</v>
      </c>
      <c r="CT21" s="22"/>
      <c r="CU21" s="22">
        <f t="shared" si="31"/>
        <v>0</v>
      </c>
      <c r="CV21" s="22">
        <f t="shared" si="123"/>
        <v>0</v>
      </c>
      <c r="CW21" s="22"/>
      <c r="CX21" s="22">
        <f t="shared" si="32"/>
        <v>0</v>
      </c>
      <c r="CY21" s="22">
        <f t="shared" si="124"/>
        <v>0</v>
      </c>
      <c r="CZ21" s="22"/>
      <c r="DA21" s="22">
        <f t="shared" si="33"/>
        <v>0</v>
      </c>
      <c r="DB21" s="22">
        <f t="shared" si="125"/>
        <v>0</v>
      </c>
      <c r="DC21" s="22"/>
      <c r="DD21" s="22">
        <f t="shared" si="34"/>
        <v>0</v>
      </c>
      <c r="DE21" s="22">
        <f t="shared" si="126"/>
        <v>0</v>
      </c>
      <c r="DF21" s="22"/>
      <c r="DG21" s="22">
        <f t="shared" si="35"/>
        <v>0</v>
      </c>
      <c r="DH21" s="22">
        <f t="shared" si="127"/>
        <v>0</v>
      </c>
      <c r="DI21" s="22"/>
      <c r="DJ21" s="22">
        <f t="shared" si="36"/>
        <v>0</v>
      </c>
      <c r="DK21" s="22">
        <f t="shared" si="128"/>
        <v>0</v>
      </c>
      <c r="DL21" s="22"/>
      <c r="DM21" s="22">
        <f t="shared" si="37"/>
        <v>0</v>
      </c>
      <c r="DN21" s="22">
        <f t="shared" si="129"/>
        <v>0</v>
      </c>
      <c r="DO21" s="22"/>
      <c r="DP21" s="22">
        <f t="shared" si="38"/>
        <v>0</v>
      </c>
      <c r="DQ21" s="22">
        <f t="shared" si="130"/>
        <v>0</v>
      </c>
      <c r="DR21" s="22"/>
      <c r="DS21" s="22">
        <f t="shared" si="39"/>
        <v>0</v>
      </c>
      <c r="DT21" s="22">
        <f t="shared" si="131"/>
        <v>0</v>
      </c>
      <c r="DU21" s="22"/>
      <c r="DV21" s="22">
        <f t="shared" si="40"/>
        <v>0</v>
      </c>
      <c r="DW21" s="22">
        <f t="shared" si="132"/>
        <v>0</v>
      </c>
      <c r="DX21" s="22"/>
      <c r="DY21" s="22">
        <f t="shared" si="41"/>
        <v>0</v>
      </c>
      <c r="DZ21" s="22">
        <f t="shared" si="133"/>
        <v>0</v>
      </c>
      <c r="EA21" s="22"/>
      <c r="EB21" s="22">
        <f t="shared" si="42"/>
        <v>0</v>
      </c>
      <c r="EC21" s="22">
        <f t="shared" si="134"/>
        <v>0</v>
      </c>
      <c r="ED21" s="22"/>
      <c r="EE21" s="22">
        <f t="shared" si="43"/>
        <v>0</v>
      </c>
      <c r="EF21" s="22">
        <f t="shared" si="135"/>
        <v>0</v>
      </c>
      <c r="EG21" s="22"/>
      <c r="EH21" s="22">
        <f t="shared" si="44"/>
        <v>0</v>
      </c>
      <c r="EI21" s="22">
        <f t="shared" si="136"/>
        <v>0</v>
      </c>
      <c r="EJ21" s="22"/>
      <c r="EK21" s="22">
        <f t="shared" si="45"/>
        <v>0</v>
      </c>
      <c r="EL21" s="22">
        <f t="shared" si="137"/>
        <v>0</v>
      </c>
      <c r="EM21" s="22"/>
      <c r="EN21" s="22">
        <f t="shared" si="46"/>
        <v>0</v>
      </c>
      <c r="EO21" s="22">
        <f t="shared" si="138"/>
        <v>0</v>
      </c>
    </row>
    <row r="22" spans="1:145">
      <c r="A22" s="15">
        <v>17</v>
      </c>
      <c r="B22" s="17" t="s">
        <v>387</v>
      </c>
      <c r="C22" s="17" t="s">
        <v>388</v>
      </c>
      <c r="D22" s="17" t="s">
        <v>389</v>
      </c>
      <c r="E22" s="18" t="s">
        <v>380</v>
      </c>
      <c r="F22" s="19">
        <f t="shared" si="0"/>
        <v>5</v>
      </c>
      <c r="G22" s="20"/>
      <c r="H22" s="21"/>
      <c r="I22" s="22">
        <f t="shared" si="1"/>
        <v>0</v>
      </c>
      <c r="J22" s="22">
        <f>$G22*H22</f>
        <v>0</v>
      </c>
      <c r="K22" s="22"/>
      <c r="L22" s="22">
        <f t="shared" si="2"/>
        <v>0</v>
      </c>
      <c r="M22" s="22">
        <f>$G22*K22</f>
        <v>0</v>
      </c>
      <c r="N22" s="22"/>
      <c r="O22" s="22">
        <f t="shared" si="3"/>
        <v>0</v>
      </c>
      <c r="P22" s="22">
        <f>$G22*N22</f>
        <v>0</v>
      </c>
      <c r="Q22" s="22">
        <v>1</v>
      </c>
      <c r="R22" s="22">
        <f t="shared" si="4"/>
        <v>3</v>
      </c>
      <c r="S22" s="22">
        <f>$G22*Q22</f>
        <v>0</v>
      </c>
      <c r="T22" s="22"/>
      <c r="U22" s="22">
        <f t="shared" si="5"/>
        <v>0</v>
      </c>
      <c r="V22" s="22">
        <f>$G22*T22</f>
        <v>0</v>
      </c>
      <c r="W22" s="22"/>
      <c r="X22" s="22">
        <f t="shared" si="6"/>
        <v>0</v>
      </c>
      <c r="Y22" s="22">
        <f>$G22*W22</f>
        <v>0</v>
      </c>
      <c r="Z22" s="22"/>
      <c r="AA22" s="22">
        <f t="shared" si="7"/>
        <v>0</v>
      </c>
      <c r="AB22" s="22">
        <f>$G22*Z22</f>
        <v>0</v>
      </c>
      <c r="AC22" s="22"/>
      <c r="AD22" s="22">
        <f t="shared" si="8"/>
        <v>0</v>
      </c>
      <c r="AE22" s="22">
        <f>$G22*AC22</f>
        <v>0</v>
      </c>
      <c r="AF22" s="22"/>
      <c r="AG22" s="22">
        <f t="shared" si="9"/>
        <v>0</v>
      </c>
      <c r="AH22" s="22">
        <f>$G22*AF22</f>
        <v>0</v>
      </c>
      <c r="AI22" s="22"/>
      <c r="AJ22" s="22">
        <f t="shared" si="10"/>
        <v>0</v>
      </c>
      <c r="AK22" s="22">
        <f>$G22*AI22</f>
        <v>0</v>
      </c>
      <c r="AL22" s="22"/>
      <c r="AM22" s="22">
        <f t="shared" si="11"/>
        <v>0</v>
      </c>
      <c r="AN22" s="22">
        <f>$G22*AL22</f>
        <v>0</v>
      </c>
      <c r="AO22" s="22">
        <v>1</v>
      </c>
      <c r="AP22" s="22">
        <f t="shared" si="12"/>
        <v>0</v>
      </c>
      <c r="AQ22" s="22">
        <f>$G22*AO22</f>
        <v>0</v>
      </c>
      <c r="AR22" s="22">
        <v>1</v>
      </c>
      <c r="AS22" s="22">
        <f t="shared" si="13"/>
        <v>0</v>
      </c>
      <c r="AT22" s="22">
        <f>$G22*AR22</f>
        <v>0</v>
      </c>
      <c r="AU22" s="22"/>
      <c r="AV22" s="22">
        <f t="shared" si="14"/>
        <v>0</v>
      </c>
      <c r="AW22" s="22">
        <f>$G22*AU22</f>
        <v>0</v>
      </c>
      <c r="AX22" s="22"/>
      <c r="AY22" s="22">
        <f t="shared" si="15"/>
        <v>0</v>
      </c>
      <c r="AZ22" s="22">
        <f>$G22*AX22</f>
        <v>0</v>
      </c>
      <c r="BA22" s="22"/>
      <c r="BB22" s="22">
        <f t="shared" si="16"/>
        <v>0</v>
      </c>
      <c r="BC22" s="22">
        <f>$G22*BA22</f>
        <v>0</v>
      </c>
      <c r="BD22" s="22"/>
      <c r="BE22" s="22">
        <f t="shared" si="17"/>
        <v>0</v>
      </c>
      <c r="BF22" s="22">
        <f>$G22*BD22</f>
        <v>0</v>
      </c>
      <c r="BG22" s="22"/>
      <c r="BH22" s="22">
        <f t="shared" si="18"/>
        <v>0</v>
      </c>
      <c r="BI22" s="22">
        <f>$G22*BG22</f>
        <v>0</v>
      </c>
      <c r="BJ22" s="22"/>
      <c r="BK22" s="22">
        <f t="shared" si="19"/>
        <v>0</v>
      </c>
      <c r="BL22" s="22">
        <f>$G22*BJ22</f>
        <v>0</v>
      </c>
      <c r="BM22" s="22"/>
      <c r="BN22" s="22">
        <f t="shared" si="20"/>
        <v>0</v>
      </c>
      <c r="BO22" s="22">
        <f>$G22*BM22</f>
        <v>0</v>
      </c>
      <c r="BP22" s="22"/>
      <c r="BQ22" s="22">
        <f t="shared" si="21"/>
        <v>0</v>
      </c>
      <c r="BR22" s="22">
        <f>$G22*BP22</f>
        <v>0</v>
      </c>
      <c r="BS22" s="22"/>
      <c r="BT22" s="22">
        <f t="shared" si="22"/>
        <v>0</v>
      </c>
      <c r="BU22" s="22">
        <f>$G22*BS22</f>
        <v>0</v>
      </c>
      <c r="BV22" s="22"/>
      <c r="BW22" s="22">
        <f t="shared" si="23"/>
        <v>0</v>
      </c>
      <c r="BX22" s="22">
        <f>$G22*BV22</f>
        <v>0</v>
      </c>
      <c r="BY22" s="22"/>
      <c r="BZ22" s="22">
        <f t="shared" si="24"/>
        <v>0</v>
      </c>
      <c r="CA22" s="22">
        <f>$G22*BY22</f>
        <v>0</v>
      </c>
      <c r="CB22" s="22"/>
      <c r="CC22" s="22">
        <f t="shared" si="25"/>
        <v>0</v>
      </c>
      <c r="CD22" s="22">
        <f>$G22*CB22</f>
        <v>0</v>
      </c>
      <c r="CE22" s="22"/>
      <c r="CF22" s="22">
        <f t="shared" si="26"/>
        <v>0</v>
      </c>
      <c r="CG22" s="22">
        <f>$G22*CE22</f>
        <v>0</v>
      </c>
      <c r="CH22" s="22"/>
      <c r="CI22" s="22">
        <f t="shared" si="27"/>
        <v>0</v>
      </c>
      <c r="CJ22" s="22">
        <f>$G22*CH22</f>
        <v>0</v>
      </c>
      <c r="CK22" s="22"/>
      <c r="CL22" s="22">
        <f t="shared" si="28"/>
        <v>0</v>
      </c>
      <c r="CM22" s="22">
        <f>$G22*CK22</f>
        <v>0</v>
      </c>
      <c r="CN22" s="22"/>
      <c r="CO22" s="22">
        <f t="shared" si="29"/>
        <v>0</v>
      </c>
      <c r="CP22" s="22">
        <f>$G22*CN22</f>
        <v>0</v>
      </c>
      <c r="CQ22" s="22"/>
      <c r="CR22" s="22">
        <f t="shared" si="30"/>
        <v>0</v>
      </c>
      <c r="CS22" s="22">
        <f>$G22*CQ22</f>
        <v>0</v>
      </c>
      <c r="CT22" s="22">
        <v>1</v>
      </c>
      <c r="CU22" s="22">
        <f t="shared" si="31"/>
        <v>0</v>
      </c>
      <c r="CV22" s="22">
        <f>$G22*CT22</f>
        <v>0</v>
      </c>
      <c r="CW22" s="22"/>
      <c r="CX22" s="22">
        <f t="shared" si="32"/>
        <v>0</v>
      </c>
      <c r="CY22" s="22">
        <f>$G22*CW22</f>
        <v>0</v>
      </c>
      <c r="CZ22" s="22"/>
      <c r="DA22" s="22">
        <f t="shared" si="33"/>
        <v>0</v>
      </c>
      <c r="DB22" s="22">
        <f>$G22*CZ22</f>
        <v>0</v>
      </c>
      <c r="DC22" s="22"/>
      <c r="DD22" s="22">
        <f t="shared" si="34"/>
        <v>0</v>
      </c>
      <c r="DE22" s="22">
        <f>$G22*DC22</f>
        <v>0</v>
      </c>
      <c r="DF22" s="22"/>
      <c r="DG22" s="22">
        <f t="shared" si="35"/>
        <v>0</v>
      </c>
      <c r="DH22" s="22">
        <f>$G22*DF22</f>
        <v>0</v>
      </c>
      <c r="DI22" s="22"/>
      <c r="DJ22" s="22">
        <f t="shared" si="36"/>
        <v>0</v>
      </c>
      <c r="DK22" s="22">
        <f>$G22*DI22</f>
        <v>0</v>
      </c>
      <c r="DL22" s="22"/>
      <c r="DM22" s="22">
        <f t="shared" si="37"/>
        <v>0</v>
      </c>
      <c r="DN22" s="22">
        <f>$G22*DL22</f>
        <v>0</v>
      </c>
      <c r="DO22" s="22"/>
      <c r="DP22" s="22">
        <f t="shared" si="38"/>
        <v>0</v>
      </c>
      <c r="DQ22" s="22">
        <f>$G22*DO22</f>
        <v>0</v>
      </c>
      <c r="DR22" s="22"/>
      <c r="DS22" s="22">
        <f t="shared" si="39"/>
        <v>0</v>
      </c>
      <c r="DT22" s="22">
        <f>$G22*DR22</f>
        <v>0</v>
      </c>
      <c r="DU22" s="22"/>
      <c r="DV22" s="22">
        <f t="shared" si="40"/>
        <v>0</v>
      </c>
      <c r="DW22" s="22">
        <f>$G22*DU22</f>
        <v>0</v>
      </c>
      <c r="DX22" s="22"/>
      <c r="DY22" s="22">
        <f t="shared" si="41"/>
        <v>0</v>
      </c>
      <c r="DZ22" s="22">
        <f>$G22*DX22</f>
        <v>0</v>
      </c>
      <c r="EA22" s="22"/>
      <c r="EB22" s="22">
        <f t="shared" si="42"/>
        <v>0</v>
      </c>
      <c r="EC22" s="22">
        <f>$G22*EA22</f>
        <v>0</v>
      </c>
      <c r="ED22" s="22">
        <v>1</v>
      </c>
      <c r="EE22" s="22">
        <f t="shared" si="43"/>
        <v>2</v>
      </c>
      <c r="EF22" s="22">
        <f>$G22*ED22</f>
        <v>0</v>
      </c>
      <c r="EG22" s="22">
        <v>1</v>
      </c>
      <c r="EH22" s="22">
        <f t="shared" si="44"/>
        <v>0</v>
      </c>
      <c r="EI22" s="22">
        <f>$G22*EG22</f>
        <v>0</v>
      </c>
      <c r="EJ22" s="22"/>
      <c r="EK22" s="22">
        <f t="shared" si="45"/>
        <v>0</v>
      </c>
      <c r="EL22" s="22">
        <f>$G22*EJ22</f>
        <v>0</v>
      </c>
      <c r="EM22" s="22"/>
      <c r="EN22" s="22">
        <f t="shared" si="46"/>
        <v>0</v>
      </c>
      <c r="EO22" s="22">
        <f>$G22*EM22</f>
        <v>0</v>
      </c>
    </row>
    <row r="23" spans="1:145">
      <c r="A23" s="15">
        <v>18</v>
      </c>
      <c r="B23" s="17" t="s">
        <v>525</v>
      </c>
      <c r="C23" s="17" t="s">
        <v>374</v>
      </c>
      <c r="D23" s="17" t="s">
        <v>526</v>
      </c>
      <c r="E23" s="18" t="s">
        <v>376</v>
      </c>
      <c r="F23" s="19">
        <f t="shared" si="0"/>
        <v>5</v>
      </c>
      <c r="G23" s="20"/>
      <c r="H23" s="21"/>
      <c r="I23" s="22">
        <f t="shared" si="1"/>
        <v>0</v>
      </c>
      <c r="J23" s="22">
        <f t="shared" ref="J23:J29" si="139">$G23*H23</f>
        <v>0</v>
      </c>
      <c r="K23" s="22"/>
      <c r="L23" s="22">
        <f t="shared" si="2"/>
        <v>0</v>
      </c>
      <c r="M23" s="22">
        <f t="shared" ref="M23:M29" si="140">$G23*K23</f>
        <v>0</v>
      </c>
      <c r="N23" s="22"/>
      <c r="O23" s="22">
        <f t="shared" si="3"/>
        <v>0</v>
      </c>
      <c r="P23" s="22">
        <f t="shared" ref="P23:P29" si="141">$G23*N23</f>
        <v>0</v>
      </c>
      <c r="Q23" s="22">
        <v>1</v>
      </c>
      <c r="R23" s="22">
        <f t="shared" si="4"/>
        <v>3</v>
      </c>
      <c r="S23" s="22">
        <f t="shared" ref="S23:S29" si="142">$G23*Q23</f>
        <v>0</v>
      </c>
      <c r="T23" s="22"/>
      <c r="U23" s="22">
        <f t="shared" si="5"/>
        <v>0</v>
      </c>
      <c r="V23" s="22">
        <f t="shared" ref="V23:V29" si="143">$G23*T23</f>
        <v>0</v>
      </c>
      <c r="W23" s="22"/>
      <c r="X23" s="22">
        <f t="shared" si="6"/>
        <v>0</v>
      </c>
      <c r="Y23" s="22">
        <f t="shared" ref="Y23:Y29" si="144">$G23*W23</f>
        <v>0</v>
      </c>
      <c r="Z23" s="22"/>
      <c r="AA23" s="22">
        <f t="shared" si="7"/>
        <v>0</v>
      </c>
      <c r="AB23" s="22">
        <f t="shared" ref="AB23:AB29" si="145">$G23*Z23</f>
        <v>0</v>
      </c>
      <c r="AC23" s="22"/>
      <c r="AD23" s="22">
        <f t="shared" si="8"/>
        <v>0</v>
      </c>
      <c r="AE23" s="22">
        <f t="shared" ref="AE23:AE29" si="146">$G23*AC23</f>
        <v>0</v>
      </c>
      <c r="AF23" s="22"/>
      <c r="AG23" s="22">
        <f t="shared" si="9"/>
        <v>0</v>
      </c>
      <c r="AH23" s="22">
        <f t="shared" ref="AH23:AH29" si="147">$G23*AF23</f>
        <v>0</v>
      </c>
      <c r="AI23" s="22"/>
      <c r="AJ23" s="22">
        <f t="shared" si="10"/>
        <v>0</v>
      </c>
      <c r="AK23" s="22">
        <f t="shared" ref="AK23:AK29" si="148">$G23*AI23</f>
        <v>0</v>
      </c>
      <c r="AL23" s="22"/>
      <c r="AM23" s="22">
        <f t="shared" si="11"/>
        <v>0</v>
      </c>
      <c r="AN23" s="22">
        <f t="shared" ref="AN23:AN29" si="149">$G23*AL23</f>
        <v>0</v>
      </c>
      <c r="AO23" s="22"/>
      <c r="AP23" s="22">
        <f t="shared" si="12"/>
        <v>0</v>
      </c>
      <c r="AQ23" s="22">
        <f t="shared" ref="AQ23:AQ29" si="150">$G23*AO23</f>
        <v>0</v>
      </c>
      <c r="AR23" s="22"/>
      <c r="AS23" s="22">
        <f t="shared" si="13"/>
        <v>0</v>
      </c>
      <c r="AT23" s="22">
        <f t="shared" ref="AT23:AT29" si="151">$G23*AR23</f>
        <v>0</v>
      </c>
      <c r="AU23" s="22"/>
      <c r="AV23" s="22">
        <f t="shared" si="14"/>
        <v>0</v>
      </c>
      <c r="AW23" s="22">
        <f t="shared" ref="AW23:AW29" si="152">$G23*AU23</f>
        <v>0</v>
      </c>
      <c r="AX23" s="22"/>
      <c r="AY23" s="22">
        <f t="shared" si="15"/>
        <v>0</v>
      </c>
      <c r="AZ23" s="22">
        <f t="shared" ref="AZ23:AZ29" si="153">$G23*AX23</f>
        <v>0</v>
      </c>
      <c r="BA23" s="22">
        <v>1</v>
      </c>
      <c r="BB23" s="22">
        <f t="shared" si="16"/>
        <v>1</v>
      </c>
      <c r="BC23" s="22">
        <f t="shared" ref="BC23:BC29" si="154">$G23*BA23</f>
        <v>0</v>
      </c>
      <c r="BD23" s="22"/>
      <c r="BE23" s="22">
        <f t="shared" si="17"/>
        <v>0</v>
      </c>
      <c r="BF23" s="22">
        <f t="shared" ref="BF23:BF29" si="155">$G23*BD23</f>
        <v>0</v>
      </c>
      <c r="BG23" s="22"/>
      <c r="BH23" s="22">
        <f t="shared" si="18"/>
        <v>0</v>
      </c>
      <c r="BI23" s="22">
        <f t="shared" ref="BI23:BI29" si="156">$G23*BG23</f>
        <v>0</v>
      </c>
      <c r="BJ23" s="22"/>
      <c r="BK23" s="22">
        <f t="shared" si="19"/>
        <v>0</v>
      </c>
      <c r="BL23" s="22">
        <f t="shared" ref="BL23:BL29" si="157">$G23*BJ23</f>
        <v>0</v>
      </c>
      <c r="BM23" s="22"/>
      <c r="BN23" s="22">
        <f t="shared" si="20"/>
        <v>0</v>
      </c>
      <c r="BO23" s="22">
        <f t="shared" ref="BO23:BO29" si="158">$G23*BM23</f>
        <v>0</v>
      </c>
      <c r="BP23" s="22"/>
      <c r="BQ23" s="22">
        <f t="shared" si="21"/>
        <v>0</v>
      </c>
      <c r="BR23" s="22">
        <f t="shared" ref="BR23:BR29" si="159">$G23*BP23</f>
        <v>0</v>
      </c>
      <c r="BS23" s="22"/>
      <c r="BT23" s="22">
        <f t="shared" si="22"/>
        <v>0</v>
      </c>
      <c r="BU23" s="22">
        <f t="shared" ref="BU23:BU29" si="160">$G23*BS23</f>
        <v>0</v>
      </c>
      <c r="BV23" s="22"/>
      <c r="BW23" s="22">
        <f t="shared" si="23"/>
        <v>0</v>
      </c>
      <c r="BX23" s="22">
        <f t="shared" ref="BX23:BX29" si="161">$G23*BV23</f>
        <v>0</v>
      </c>
      <c r="BY23" s="22"/>
      <c r="BZ23" s="22">
        <f t="shared" si="24"/>
        <v>0</v>
      </c>
      <c r="CA23" s="22">
        <f t="shared" ref="CA23:CA29" si="162">$G23*BY23</f>
        <v>0</v>
      </c>
      <c r="CB23" s="22"/>
      <c r="CC23" s="22">
        <f t="shared" si="25"/>
        <v>0</v>
      </c>
      <c r="CD23" s="22">
        <f t="shared" ref="CD23:CD29" si="163">$G23*CB23</f>
        <v>0</v>
      </c>
      <c r="CE23" s="22"/>
      <c r="CF23" s="22">
        <f t="shared" si="26"/>
        <v>0</v>
      </c>
      <c r="CG23" s="22">
        <f t="shared" ref="CG23:CG29" si="164">$G23*CE23</f>
        <v>0</v>
      </c>
      <c r="CH23" s="22"/>
      <c r="CI23" s="22">
        <f t="shared" si="27"/>
        <v>0</v>
      </c>
      <c r="CJ23" s="22">
        <f t="shared" ref="CJ23:CJ29" si="165">$G23*CH23</f>
        <v>0</v>
      </c>
      <c r="CK23" s="22"/>
      <c r="CL23" s="22">
        <f t="shared" si="28"/>
        <v>0</v>
      </c>
      <c r="CM23" s="22">
        <f t="shared" ref="CM23:CM29" si="166">$G23*CK23</f>
        <v>0</v>
      </c>
      <c r="CN23" s="22"/>
      <c r="CO23" s="22">
        <f t="shared" si="29"/>
        <v>0</v>
      </c>
      <c r="CP23" s="22">
        <f t="shared" ref="CP23:CP29" si="167">$G23*CN23</f>
        <v>0</v>
      </c>
      <c r="CQ23" s="22"/>
      <c r="CR23" s="22">
        <f t="shared" si="30"/>
        <v>0</v>
      </c>
      <c r="CS23" s="22">
        <f t="shared" ref="CS23:CS29" si="168">$G23*CQ23</f>
        <v>0</v>
      </c>
      <c r="CT23" s="22"/>
      <c r="CU23" s="22">
        <f t="shared" si="31"/>
        <v>0</v>
      </c>
      <c r="CV23" s="22">
        <f t="shared" ref="CV23:CV29" si="169">$G23*CT23</f>
        <v>0</v>
      </c>
      <c r="CW23" s="22"/>
      <c r="CX23" s="22">
        <f t="shared" si="32"/>
        <v>0</v>
      </c>
      <c r="CY23" s="22">
        <f t="shared" ref="CY23:CY29" si="170">$G23*CW23</f>
        <v>0</v>
      </c>
      <c r="CZ23" s="22"/>
      <c r="DA23" s="22">
        <f t="shared" si="33"/>
        <v>0</v>
      </c>
      <c r="DB23" s="22">
        <f t="shared" ref="DB23:DB29" si="171">$G23*CZ23</f>
        <v>0</v>
      </c>
      <c r="DC23" s="22"/>
      <c r="DD23" s="22">
        <f t="shared" si="34"/>
        <v>0</v>
      </c>
      <c r="DE23" s="22">
        <f t="shared" ref="DE23:DE29" si="172">$G23*DC23</f>
        <v>0</v>
      </c>
      <c r="DF23" s="22"/>
      <c r="DG23" s="22">
        <f t="shared" si="35"/>
        <v>0</v>
      </c>
      <c r="DH23" s="22">
        <f t="shared" ref="DH23:DH29" si="173">$G23*DF23</f>
        <v>0</v>
      </c>
      <c r="DI23" s="22"/>
      <c r="DJ23" s="22">
        <f t="shared" si="36"/>
        <v>0</v>
      </c>
      <c r="DK23" s="22">
        <f t="shared" ref="DK23:DK29" si="174">$G23*DI23</f>
        <v>0</v>
      </c>
      <c r="DL23" s="22"/>
      <c r="DM23" s="22">
        <f t="shared" si="37"/>
        <v>0</v>
      </c>
      <c r="DN23" s="22">
        <f t="shared" ref="DN23:DN29" si="175">$G23*DL23</f>
        <v>0</v>
      </c>
      <c r="DO23" s="22"/>
      <c r="DP23" s="22">
        <f t="shared" si="38"/>
        <v>0</v>
      </c>
      <c r="DQ23" s="22">
        <f t="shared" ref="DQ23:DQ29" si="176">$G23*DO23</f>
        <v>0</v>
      </c>
      <c r="DR23" s="22"/>
      <c r="DS23" s="22">
        <f t="shared" si="39"/>
        <v>0</v>
      </c>
      <c r="DT23" s="22">
        <f t="shared" ref="DT23:DT29" si="177">$G23*DR23</f>
        <v>0</v>
      </c>
      <c r="DU23" s="22"/>
      <c r="DV23" s="22">
        <f t="shared" si="40"/>
        <v>0</v>
      </c>
      <c r="DW23" s="22">
        <f t="shared" ref="DW23:DW29" si="178">$G23*DU23</f>
        <v>0</v>
      </c>
      <c r="DX23" s="22">
        <v>1</v>
      </c>
      <c r="DY23" s="22">
        <f t="shared" si="41"/>
        <v>1</v>
      </c>
      <c r="DZ23" s="22">
        <f t="shared" ref="DZ23:DZ29" si="179">$G23*DX23</f>
        <v>0</v>
      </c>
      <c r="EA23" s="22"/>
      <c r="EB23" s="22">
        <f t="shared" si="42"/>
        <v>0</v>
      </c>
      <c r="EC23" s="22">
        <f t="shared" ref="EC23:EC29" si="180">$G23*EA23</f>
        <v>0</v>
      </c>
      <c r="ED23" s="22"/>
      <c r="EE23" s="22">
        <f t="shared" si="43"/>
        <v>0</v>
      </c>
      <c r="EF23" s="22">
        <f t="shared" ref="EF23:EF29" si="181">$G23*ED23</f>
        <v>0</v>
      </c>
      <c r="EG23" s="22"/>
      <c r="EH23" s="22">
        <f t="shared" si="44"/>
        <v>0</v>
      </c>
      <c r="EI23" s="22">
        <f t="shared" ref="EI23:EI29" si="182">$G23*EG23</f>
        <v>0</v>
      </c>
      <c r="EJ23" s="22"/>
      <c r="EK23" s="22">
        <f t="shared" si="45"/>
        <v>0</v>
      </c>
      <c r="EL23" s="22">
        <f t="shared" ref="EL23:EL29" si="183">$G23*EJ23</f>
        <v>0</v>
      </c>
      <c r="EM23" s="22"/>
      <c r="EN23" s="22">
        <f t="shared" si="46"/>
        <v>0</v>
      </c>
      <c r="EO23" s="22">
        <f t="shared" ref="EO23:EO29" si="184">$G23*EM23</f>
        <v>0</v>
      </c>
    </row>
    <row r="24" spans="1:145">
      <c r="A24" s="15">
        <v>19</v>
      </c>
      <c r="B24" s="17" t="s">
        <v>525</v>
      </c>
      <c r="C24" s="17" t="s">
        <v>374</v>
      </c>
      <c r="D24" s="17" t="s">
        <v>527</v>
      </c>
      <c r="E24" s="15" t="s">
        <v>528</v>
      </c>
      <c r="F24" s="19">
        <f t="shared" si="0"/>
        <v>6</v>
      </c>
      <c r="G24" s="20"/>
      <c r="H24" s="21"/>
      <c r="I24" s="22">
        <f t="shared" si="1"/>
        <v>0</v>
      </c>
      <c r="J24" s="22">
        <f t="shared" si="139"/>
        <v>0</v>
      </c>
      <c r="K24" s="22"/>
      <c r="L24" s="22">
        <f t="shared" si="2"/>
        <v>0</v>
      </c>
      <c r="M24" s="22">
        <f t="shared" si="140"/>
        <v>0</v>
      </c>
      <c r="N24" s="22"/>
      <c r="O24" s="22">
        <f t="shared" si="3"/>
        <v>0</v>
      </c>
      <c r="P24" s="22">
        <f t="shared" si="141"/>
        <v>0</v>
      </c>
      <c r="Q24" s="22">
        <v>1</v>
      </c>
      <c r="R24" s="22">
        <f t="shared" si="4"/>
        <v>3</v>
      </c>
      <c r="S24" s="22">
        <f t="shared" si="142"/>
        <v>0</v>
      </c>
      <c r="T24" s="22"/>
      <c r="U24" s="22">
        <f t="shared" si="5"/>
        <v>0</v>
      </c>
      <c r="V24" s="22">
        <f t="shared" si="143"/>
        <v>0</v>
      </c>
      <c r="W24" s="22"/>
      <c r="X24" s="22">
        <f t="shared" si="6"/>
        <v>0</v>
      </c>
      <c r="Y24" s="22">
        <f t="shared" si="144"/>
        <v>0</v>
      </c>
      <c r="Z24" s="22"/>
      <c r="AA24" s="22">
        <f t="shared" si="7"/>
        <v>0</v>
      </c>
      <c r="AB24" s="22">
        <f t="shared" si="145"/>
        <v>0</v>
      </c>
      <c r="AC24" s="22"/>
      <c r="AD24" s="22">
        <f t="shared" si="8"/>
        <v>0</v>
      </c>
      <c r="AE24" s="22">
        <f t="shared" si="146"/>
        <v>0</v>
      </c>
      <c r="AF24" s="22"/>
      <c r="AG24" s="22">
        <f t="shared" si="9"/>
        <v>0</v>
      </c>
      <c r="AH24" s="22">
        <f t="shared" si="147"/>
        <v>0</v>
      </c>
      <c r="AI24" s="22"/>
      <c r="AJ24" s="22">
        <f t="shared" si="10"/>
        <v>0</v>
      </c>
      <c r="AK24" s="22">
        <f t="shared" si="148"/>
        <v>0</v>
      </c>
      <c r="AL24" s="22"/>
      <c r="AM24" s="22">
        <f t="shared" si="11"/>
        <v>0</v>
      </c>
      <c r="AN24" s="22">
        <f t="shared" si="149"/>
        <v>0</v>
      </c>
      <c r="AO24" s="22"/>
      <c r="AP24" s="22">
        <f t="shared" si="12"/>
        <v>0</v>
      </c>
      <c r="AQ24" s="22">
        <f t="shared" si="150"/>
        <v>0</v>
      </c>
      <c r="AR24" s="22"/>
      <c r="AS24" s="22">
        <f t="shared" si="13"/>
        <v>0</v>
      </c>
      <c r="AT24" s="22">
        <f t="shared" si="151"/>
        <v>0</v>
      </c>
      <c r="AU24" s="22"/>
      <c r="AV24" s="22">
        <f t="shared" si="14"/>
        <v>0</v>
      </c>
      <c r="AW24" s="22">
        <f t="shared" si="152"/>
        <v>0</v>
      </c>
      <c r="AX24" s="22"/>
      <c r="AY24" s="22">
        <f t="shared" si="15"/>
        <v>0</v>
      </c>
      <c r="AZ24" s="22">
        <f t="shared" si="153"/>
        <v>0</v>
      </c>
      <c r="BA24" s="22">
        <v>1</v>
      </c>
      <c r="BB24" s="22">
        <f t="shared" si="16"/>
        <v>1</v>
      </c>
      <c r="BC24" s="22">
        <f t="shared" si="154"/>
        <v>0</v>
      </c>
      <c r="BD24" s="22"/>
      <c r="BE24" s="22">
        <f t="shared" si="17"/>
        <v>0</v>
      </c>
      <c r="BF24" s="22">
        <f t="shared" si="155"/>
        <v>0</v>
      </c>
      <c r="BG24" s="22"/>
      <c r="BH24" s="22">
        <f t="shared" si="18"/>
        <v>0</v>
      </c>
      <c r="BI24" s="22">
        <f t="shared" si="156"/>
        <v>0</v>
      </c>
      <c r="BJ24" s="22"/>
      <c r="BK24" s="22">
        <f t="shared" si="19"/>
        <v>0</v>
      </c>
      <c r="BL24" s="22">
        <f t="shared" si="157"/>
        <v>0</v>
      </c>
      <c r="BM24" s="22"/>
      <c r="BN24" s="22">
        <f t="shared" si="20"/>
        <v>0</v>
      </c>
      <c r="BO24" s="22">
        <f t="shared" si="158"/>
        <v>0</v>
      </c>
      <c r="BP24" s="22"/>
      <c r="BQ24" s="22">
        <f t="shared" si="21"/>
        <v>0</v>
      </c>
      <c r="BR24" s="22">
        <f t="shared" si="159"/>
        <v>0</v>
      </c>
      <c r="BS24" s="22"/>
      <c r="BT24" s="22">
        <f t="shared" si="22"/>
        <v>0</v>
      </c>
      <c r="BU24" s="22">
        <f t="shared" si="160"/>
        <v>0</v>
      </c>
      <c r="BV24" s="22"/>
      <c r="BW24" s="22">
        <f t="shared" si="23"/>
        <v>0</v>
      </c>
      <c r="BX24" s="22">
        <f t="shared" si="161"/>
        <v>0</v>
      </c>
      <c r="BY24" s="22"/>
      <c r="BZ24" s="22">
        <f t="shared" si="24"/>
        <v>0</v>
      </c>
      <c r="CA24" s="22">
        <f t="shared" si="162"/>
        <v>0</v>
      </c>
      <c r="CB24" s="22"/>
      <c r="CC24" s="22">
        <f t="shared" si="25"/>
        <v>0</v>
      </c>
      <c r="CD24" s="22">
        <f t="shared" si="163"/>
        <v>0</v>
      </c>
      <c r="CE24" s="22"/>
      <c r="CF24" s="22">
        <f t="shared" si="26"/>
        <v>0</v>
      </c>
      <c r="CG24" s="22">
        <f t="shared" si="164"/>
        <v>0</v>
      </c>
      <c r="CH24" s="22"/>
      <c r="CI24" s="22">
        <f t="shared" si="27"/>
        <v>0</v>
      </c>
      <c r="CJ24" s="22">
        <f t="shared" si="165"/>
        <v>0</v>
      </c>
      <c r="CK24" s="22"/>
      <c r="CL24" s="22">
        <f t="shared" si="28"/>
        <v>0</v>
      </c>
      <c r="CM24" s="22">
        <f t="shared" si="166"/>
        <v>0</v>
      </c>
      <c r="CN24" s="22"/>
      <c r="CO24" s="22">
        <f t="shared" si="29"/>
        <v>0</v>
      </c>
      <c r="CP24" s="22">
        <f t="shared" si="167"/>
        <v>0</v>
      </c>
      <c r="CQ24" s="22"/>
      <c r="CR24" s="22">
        <f t="shared" si="30"/>
        <v>0</v>
      </c>
      <c r="CS24" s="22">
        <f t="shared" si="168"/>
        <v>0</v>
      </c>
      <c r="CT24" s="22"/>
      <c r="CU24" s="22">
        <f t="shared" si="31"/>
        <v>0</v>
      </c>
      <c r="CV24" s="22">
        <f t="shared" si="169"/>
        <v>0</v>
      </c>
      <c r="CW24" s="22"/>
      <c r="CX24" s="22">
        <f t="shared" si="32"/>
        <v>0</v>
      </c>
      <c r="CY24" s="22">
        <f t="shared" si="170"/>
        <v>0</v>
      </c>
      <c r="CZ24" s="22"/>
      <c r="DA24" s="22">
        <f t="shared" si="33"/>
        <v>0</v>
      </c>
      <c r="DB24" s="22">
        <f t="shared" si="171"/>
        <v>0</v>
      </c>
      <c r="DC24" s="22"/>
      <c r="DD24" s="22">
        <f t="shared" si="34"/>
        <v>0</v>
      </c>
      <c r="DE24" s="22">
        <f t="shared" si="172"/>
        <v>0</v>
      </c>
      <c r="DF24" s="22"/>
      <c r="DG24" s="22">
        <f t="shared" si="35"/>
        <v>0</v>
      </c>
      <c r="DH24" s="22">
        <f t="shared" si="173"/>
        <v>0</v>
      </c>
      <c r="DI24" s="22"/>
      <c r="DJ24" s="22">
        <f t="shared" si="36"/>
        <v>0</v>
      </c>
      <c r="DK24" s="22">
        <f t="shared" si="174"/>
        <v>0</v>
      </c>
      <c r="DL24" s="22"/>
      <c r="DM24" s="22">
        <f t="shared" si="37"/>
        <v>0</v>
      </c>
      <c r="DN24" s="22">
        <f t="shared" si="175"/>
        <v>0</v>
      </c>
      <c r="DO24" s="22"/>
      <c r="DP24" s="22">
        <f t="shared" si="38"/>
        <v>0</v>
      </c>
      <c r="DQ24" s="22">
        <f t="shared" si="176"/>
        <v>0</v>
      </c>
      <c r="DR24" s="22"/>
      <c r="DS24" s="22">
        <f t="shared" si="39"/>
        <v>0</v>
      </c>
      <c r="DT24" s="22">
        <f t="shared" si="177"/>
        <v>0</v>
      </c>
      <c r="DU24" s="22"/>
      <c r="DV24" s="22">
        <f t="shared" si="40"/>
        <v>0</v>
      </c>
      <c r="DW24" s="22">
        <f t="shared" si="178"/>
        <v>0</v>
      </c>
      <c r="DX24" s="22">
        <v>2</v>
      </c>
      <c r="DY24" s="22">
        <f t="shared" si="41"/>
        <v>2</v>
      </c>
      <c r="DZ24" s="22">
        <f t="shared" si="179"/>
        <v>0</v>
      </c>
      <c r="EA24" s="22"/>
      <c r="EB24" s="22">
        <f t="shared" si="42"/>
        <v>0</v>
      </c>
      <c r="EC24" s="22">
        <f t="shared" si="180"/>
        <v>0</v>
      </c>
      <c r="ED24" s="22"/>
      <c r="EE24" s="22">
        <f t="shared" si="43"/>
        <v>0</v>
      </c>
      <c r="EF24" s="22">
        <f t="shared" si="181"/>
        <v>0</v>
      </c>
      <c r="EG24" s="22"/>
      <c r="EH24" s="22">
        <f t="shared" si="44"/>
        <v>0</v>
      </c>
      <c r="EI24" s="22">
        <f t="shared" si="182"/>
        <v>0</v>
      </c>
      <c r="EJ24" s="22"/>
      <c r="EK24" s="22">
        <f t="shared" si="45"/>
        <v>0</v>
      </c>
      <c r="EL24" s="22">
        <f t="shared" si="183"/>
        <v>0</v>
      </c>
      <c r="EM24" s="22"/>
      <c r="EN24" s="22">
        <f t="shared" si="46"/>
        <v>0</v>
      </c>
      <c r="EO24" s="22">
        <f t="shared" si="184"/>
        <v>0</v>
      </c>
    </row>
    <row r="25" spans="1:145">
      <c r="A25" s="15">
        <v>20</v>
      </c>
      <c r="B25" s="17" t="s">
        <v>390</v>
      </c>
      <c r="C25" s="17" t="s">
        <v>391</v>
      </c>
      <c r="D25" s="17" t="s">
        <v>392</v>
      </c>
      <c r="E25" s="16"/>
      <c r="F25" s="19">
        <f t="shared" si="0"/>
        <v>9</v>
      </c>
      <c r="G25" s="20"/>
      <c r="H25" s="21"/>
      <c r="I25" s="22">
        <f t="shared" si="1"/>
        <v>0</v>
      </c>
      <c r="J25" s="22">
        <f t="shared" si="139"/>
        <v>0</v>
      </c>
      <c r="K25" s="22"/>
      <c r="L25" s="22">
        <f t="shared" si="2"/>
        <v>0</v>
      </c>
      <c r="M25" s="22">
        <f t="shared" si="140"/>
        <v>0</v>
      </c>
      <c r="N25" s="22"/>
      <c r="O25" s="22">
        <f t="shared" si="3"/>
        <v>0</v>
      </c>
      <c r="P25" s="22">
        <f t="shared" si="141"/>
        <v>0</v>
      </c>
      <c r="Q25" s="22">
        <v>1</v>
      </c>
      <c r="R25" s="22">
        <f t="shared" si="4"/>
        <v>3</v>
      </c>
      <c r="S25" s="22">
        <f t="shared" si="142"/>
        <v>0</v>
      </c>
      <c r="T25" s="22"/>
      <c r="U25" s="22">
        <f t="shared" si="5"/>
        <v>0</v>
      </c>
      <c r="V25" s="22">
        <f t="shared" si="143"/>
        <v>0</v>
      </c>
      <c r="W25" s="22"/>
      <c r="X25" s="22">
        <f t="shared" si="6"/>
        <v>0</v>
      </c>
      <c r="Y25" s="22">
        <f t="shared" si="144"/>
        <v>0</v>
      </c>
      <c r="Z25" s="22"/>
      <c r="AA25" s="22">
        <f t="shared" si="7"/>
        <v>0</v>
      </c>
      <c r="AB25" s="22">
        <f t="shared" si="145"/>
        <v>0</v>
      </c>
      <c r="AC25" s="22">
        <v>1</v>
      </c>
      <c r="AD25" s="22">
        <f t="shared" si="8"/>
        <v>1</v>
      </c>
      <c r="AE25" s="22">
        <f t="shared" si="146"/>
        <v>0</v>
      </c>
      <c r="AF25" s="22">
        <v>1</v>
      </c>
      <c r="AG25" s="22">
        <f t="shared" si="9"/>
        <v>4</v>
      </c>
      <c r="AH25" s="22">
        <f t="shared" si="147"/>
        <v>0</v>
      </c>
      <c r="AI25" s="22">
        <v>1</v>
      </c>
      <c r="AJ25" s="22">
        <f t="shared" si="10"/>
        <v>1</v>
      </c>
      <c r="AK25" s="22">
        <f t="shared" si="148"/>
        <v>0</v>
      </c>
      <c r="AL25" s="22"/>
      <c r="AM25" s="22">
        <f t="shared" si="11"/>
        <v>0</v>
      </c>
      <c r="AN25" s="22">
        <f t="shared" si="149"/>
        <v>0</v>
      </c>
      <c r="AO25" s="22">
        <v>1</v>
      </c>
      <c r="AP25" s="22">
        <f t="shared" si="12"/>
        <v>0</v>
      </c>
      <c r="AQ25" s="22">
        <f t="shared" si="150"/>
        <v>0</v>
      </c>
      <c r="AR25" s="22">
        <v>1</v>
      </c>
      <c r="AS25" s="22">
        <f t="shared" si="13"/>
        <v>0</v>
      </c>
      <c r="AT25" s="22">
        <f t="shared" si="151"/>
        <v>0</v>
      </c>
      <c r="AU25" s="22"/>
      <c r="AV25" s="22">
        <f t="shared" si="14"/>
        <v>0</v>
      </c>
      <c r="AW25" s="22">
        <f t="shared" si="152"/>
        <v>0</v>
      </c>
      <c r="AX25" s="22"/>
      <c r="AY25" s="22">
        <f t="shared" si="15"/>
        <v>0</v>
      </c>
      <c r="AZ25" s="22">
        <f t="shared" si="153"/>
        <v>0</v>
      </c>
      <c r="BA25" s="22"/>
      <c r="BB25" s="22">
        <f t="shared" si="16"/>
        <v>0</v>
      </c>
      <c r="BC25" s="22">
        <f t="shared" si="154"/>
        <v>0</v>
      </c>
      <c r="BD25" s="22"/>
      <c r="BE25" s="22">
        <f t="shared" si="17"/>
        <v>0</v>
      </c>
      <c r="BF25" s="22">
        <f t="shared" si="155"/>
        <v>0</v>
      </c>
      <c r="BG25" s="22"/>
      <c r="BH25" s="22">
        <f t="shared" si="18"/>
        <v>0</v>
      </c>
      <c r="BI25" s="22">
        <f t="shared" si="156"/>
        <v>0</v>
      </c>
      <c r="BJ25" s="22"/>
      <c r="BK25" s="22">
        <f t="shared" si="19"/>
        <v>0</v>
      </c>
      <c r="BL25" s="22">
        <f t="shared" si="157"/>
        <v>0</v>
      </c>
      <c r="BM25" s="22"/>
      <c r="BN25" s="22">
        <f t="shared" si="20"/>
        <v>0</v>
      </c>
      <c r="BO25" s="22">
        <f t="shared" si="158"/>
        <v>0</v>
      </c>
      <c r="BP25" s="22"/>
      <c r="BQ25" s="22">
        <f t="shared" si="21"/>
        <v>0</v>
      </c>
      <c r="BR25" s="22">
        <f t="shared" si="159"/>
        <v>0</v>
      </c>
      <c r="BS25" s="22"/>
      <c r="BT25" s="22">
        <f t="shared" si="22"/>
        <v>0</v>
      </c>
      <c r="BU25" s="22">
        <f t="shared" si="160"/>
        <v>0</v>
      </c>
      <c r="BV25" s="22"/>
      <c r="BW25" s="22">
        <f t="shared" si="23"/>
        <v>0</v>
      </c>
      <c r="BX25" s="22">
        <f t="shared" si="161"/>
        <v>0</v>
      </c>
      <c r="BY25" s="22"/>
      <c r="BZ25" s="22">
        <f t="shared" si="24"/>
        <v>0</v>
      </c>
      <c r="CA25" s="22">
        <f t="shared" si="162"/>
        <v>0</v>
      </c>
      <c r="CB25" s="22"/>
      <c r="CC25" s="22">
        <f t="shared" si="25"/>
        <v>0</v>
      </c>
      <c r="CD25" s="22">
        <f t="shared" si="163"/>
        <v>0</v>
      </c>
      <c r="CE25" s="22"/>
      <c r="CF25" s="22">
        <f t="shared" si="26"/>
        <v>0</v>
      </c>
      <c r="CG25" s="22">
        <f t="shared" si="164"/>
        <v>0</v>
      </c>
      <c r="CH25" s="22"/>
      <c r="CI25" s="22">
        <f t="shared" si="27"/>
        <v>0</v>
      </c>
      <c r="CJ25" s="22">
        <f t="shared" si="165"/>
        <v>0</v>
      </c>
      <c r="CK25" s="22"/>
      <c r="CL25" s="22">
        <f t="shared" si="28"/>
        <v>0</v>
      </c>
      <c r="CM25" s="22">
        <f t="shared" si="166"/>
        <v>0</v>
      </c>
      <c r="CN25" s="22"/>
      <c r="CO25" s="22">
        <f t="shared" si="29"/>
        <v>0</v>
      </c>
      <c r="CP25" s="22">
        <f t="shared" si="167"/>
        <v>0</v>
      </c>
      <c r="CQ25" s="22"/>
      <c r="CR25" s="22">
        <f t="shared" si="30"/>
        <v>0</v>
      </c>
      <c r="CS25" s="22">
        <f t="shared" si="168"/>
        <v>0</v>
      </c>
      <c r="CT25" s="22"/>
      <c r="CU25" s="22">
        <f t="shared" si="31"/>
        <v>0</v>
      </c>
      <c r="CV25" s="22">
        <f t="shared" si="169"/>
        <v>0</v>
      </c>
      <c r="CW25" s="22"/>
      <c r="CX25" s="22">
        <f t="shared" si="32"/>
        <v>0</v>
      </c>
      <c r="CY25" s="22">
        <f t="shared" si="170"/>
        <v>0</v>
      </c>
      <c r="CZ25" s="22"/>
      <c r="DA25" s="22">
        <f t="shared" si="33"/>
        <v>0</v>
      </c>
      <c r="DB25" s="22">
        <f t="shared" si="171"/>
        <v>0</v>
      </c>
      <c r="DC25" s="22"/>
      <c r="DD25" s="22">
        <f t="shared" si="34"/>
        <v>0</v>
      </c>
      <c r="DE25" s="22">
        <f t="shared" si="172"/>
        <v>0</v>
      </c>
      <c r="DF25" s="22"/>
      <c r="DG25" s="22">
        <f t="shared" si="35"/>
        <v>0</v>
      </c>
      <c r="DH25" s="22">
        <f t="shared" si="173"/>
        <v>0</v>
      </c>
      <c r="DI25" s="22"/>
      <c r="DJ25" s="22">
        <f t="shared" si="36"/>
        <v>0</v>
      </c>
      <c r="DK25" s="22">
        <f t="shared" si="174"/>
        <v>0</v>
      </c>
      <c r="DL25" s="22"/>
      <c r="DM25" s="22">
        <f t="shared" si="37"/>
        <v>0</v>
      </c>
      <c r="DN25" s="22">
        <f t="shared" si="175"/>
        <v>0</v>
      </c>
      <c r="DO25" s="22"/>
      <c r="DP25" s="22">
        <f t="shared" si="38"/>
        <v>0</v>
      </c>
      <c r="DQ25" s="22">
        <f t="shared" si="176"/>
        <v>0</v>
      </c>
      <c r="DR25" s="22"/>
      <c r="DS25" s="22">
        <f t="shared" si="39"/>
        <v>0</v>
      </c>
      <c r="DT25" s="22">
        <f t="shared" si="177"/>
        <v>0</v>
      </c>
      <c r="DU25" s="22"/>
      <c r="DV25" s="22">
        <f t="shared" si="40"/>
        <v>0</v>
      </c>
      <c r="DW25" s="22">
        <f t="shared" si="178"/>
        <v>0</v>
      </c>
      <c r="DX25" s="22"/>
      <c r="DY25" s="22">
        <f t="shared" si="41"/>
        <v>0</v>
      </c>
      <c r="DZ25" s="22">
        <f t="shared" si="179"/>
        <v>0</v>
      </c>
      <c r="EA25" s="22"/>
      <c r="EB25" s="22">
        <f t="shared" si="42"/>
        <v>0</v>
      </c>
      <c r="EC25" s="22">
        <f t="shared" si="180"/>
        <v>0</v>
      </c>
      <c r="ED25" s="22"/>
      <c r="EE25" s="22">
        <f t="shared" si="43"/>
        <v>0</v>
      </c>
      <c r="EF25" s="22">
        <f t="shared" si="181"/>
        <v>0</v>
      </c>
      <c r="EG25" s="22">
        <v>1</v>
      </c>
      <c r="EH25" s="22">
        <f t="shared" si="44"/>
        <v>0</v>
      </c>
      <c r="EI25" s="22">
        <f t="shared" si="182"/>
        <v>0</v>
      </c>
      <c r="EJ25" s="22"/>
      <c r="EK25" s="22">
        <f t="shared" si="45"/>
        <v>0</v>
      </c>
      <c r="EL25" s="22">
        <f t="shared" si="183"/>
        <v>0</v>
      </c>
      <c r="EM25" s="22"/>
      <c r="EN25" s="22">
        <f t="shared" si="46"/>
        <v>0</v>
      </c>
      <c r="EO25" s="22">
        <f t="shared" si="184"/>
        <v>0</v>
      </c>
    </row>
    <row r="26" spans="1:145">
      <c r="A26" s="15">
        <v>21</v>
      </c>
      <c r="B26" s="17" t="s">
        <v>393</v>
      </c>
      <c r="C26" s="17" t="s">
        <v>394</v>
      </c>
      <c r="D26" s="17" t="s">
        <v>395</v>
      </c>
      <c r="E26" s="15"/>
      <c r="F26" s="19">
        <f t="shared" si="0"/>
        <v>14</v>
      </c>
      <c r="G26" s="20"/>
      <c r="H26" s="21"/>
      <c r="I26" s="22">
        <f t="shared" si="1"/>
        <v>0</v>
      </c>
      <c r="J26" s="22">
        <f t="shared" si="139"/>
        <v>0</v>
      </c>
      <c r="K26" s="22"/>
      <c r="L26" s="22">
        <f t="shared" si="2"/>
        <v>0</v>
      </c>
      <c r="M26" s="22">
        <f t="shared" si="140"/>
        <v>0</v>
      </c>
      <c r="N26" s="22"/>
      <c r="O26" s="22">
        <f t="shared" si="3"/>
        <v>0</v>
      </c>
      <c r="P26" s="22">
        <f t="shared" si="141"/>
        <v>0</v>
      </c>
      <c r="Q26" s="22">
        <v>1</v>
      </c>
      <c r="R26" s="22">
        <f t="shared" si="4"/>
        <v>3</v>
      </c>
      <c r="S26" s="22">
        <f t="shared" si="142"/>
        <v>0</v>
      </c>
      <c r="T26" s="22"/>
      <c r="U26" s="22">
        <f t="shared" si="5"/>
        <v>0</v>
      </c>
      <c r="V26" s="22">
        <f t="shared" si="143"/>
        <v>0</v>
      </c>
      <c r="W26" s="22"/>
      <c r="X26" s="22">
        <f t="shared" si="6"/>
        <v>0</v>
      </c>
      <c r="Y26" s="22">
        <f t="shared" si="144"/>
        <v>0</v>
      </c>
      <c r="Z26" s="22"/>
      <c r="AA26" s="22">
        <f t="shared" si="7"/>
        <v>0</v>
      </c>
      <c r="AB26" s="22">
        <f t="shared" si="145"/>
        <v>0</v>
      </c>
      <c r="AC26" s="22">
        <v>1</v>
      </c>
      <c r="AD26" s="22">
        <f t="shared" si="8"/>
        <v>1</v>
      </c>
      <c r="AE26" s="22">
        <f t="shared" si="146"/>
        <v>0</v>
      </c>
      <c r="AF26" s="22">
        <v>1</v>
      </c>
      <c r="AG26" s="22">
        <f t="shared" si="9"/>
        <v>4</v>
      </c>
      <c r="AH26" s="22">
        <f t="shared" si="147"/>
        <v>0</v>
      </c>
      <c r="AI26" s="22">
        <v>1</v>
      </c>
      <c r="AJ26" s="22">
        <f t="shared" si="10"/>
        <v>1</v>
      </c>
      <c r="AK26" s="22">
        <f t="shared" si="148"/>
        <v>0</v>
      </c>
      <c r="AL26" s="22">
        <v>1</v>
      </c>
      <c r="AM26" s="22">
        <f t="shared" si="11"/>
        <v>0</v>
      </c>
      <c r="AN26" s="22">
        <f t="shared" si="149"/>
        <v>0</v>
      </c>
      <c r="AO26" s="22">
        <v>1</v>
      </c>
      <c r="AP26" s="22">
        <f t="shared" si="12"/>
        <v>0</v>
      </c>
      <c r="AQ26" s="22">
        <f t="shared" si="150"/>
        <v>0</v>
      </c>
      <c r="AR26" s="22">
        <v>1</v>
      </c>
      <c r="AS26" s="22">
        <f t="shared" si="13"/>
        <v>0</v>
      </c>
      <c r="AT26" s="22">
        <f t="shared" si="151"/>
        <v>0</v>
      </c>
      <c r="AU26" s="22"/>
      <c r="AV26" s="22">
        <f t="shared" si="14"/>
        <v>0</v>
      </c>
      <c r="AW26" s="22">
        <f t="shared" si="152"/>
        <v>0</v>
      </c>
      <c r="AX26" s="22"/>
      <c r="AY26" s="22">
        <f t="shared" si="15"/>
        <v>0</v>
      </c>
      <c r="AZ26" s="22">
        <f t="shared" si="153"/>
        <v>0</v>
      </c>
      <c r="BA26" s="22"/>
      <c r="BB26" s="22">
        <f t="shared" si="16"/>
        <v>0</v>
      </c>
      <c r="BC26" s="22">
        <f t="shared" si="154"/>
        <v>0</v>
      </c>
      <c r="BD26" s="22"/>
      <c r="BE26" s="22">
        <f t="shared" si="17"/>
        <v>0</v>
      </c>
      <c r="BF26" s="22">
        <f t="shared" si="155"/>
        <v>0</v>
      </c>
      <c r="BG26" s="22"/>
      <c r="BH26" s="22">
        <f t="shared" si="18"/>
        <v>0</v>
      </c>
      <c r="BI26" s="22">
        <f t="shared" si="156"/>
        <v>0</v>
      </c>
      <c r="BJ26" s="22"/>
      <c r="BK26" s="22">
        <f t="shared" si="19"/>
        <v>0</v>
      </c>
      <c r="BL26" s="22">
        <f t="shared" si="157"/>
        <v>0</v>
      </c>
      <c r="BM26" s="22"/>
      <c r="BN26" s="22">
        <f t="shared" si="20"/>
        <v>0</v>
      </c>
      <c r="BO26" s="22">
        <f t="shared" si="158"/>
        <v>0</v>
      </c>
      <c r="BP26" s="22"/>
      <c r="BQ26" s="22">
        <f t="shared" si="21"/>
        <v>0</v>
      </c>
      <c r="BR26" s="22">
        <f t="shared" si="159"/>
        <v>0</v>
      </c>
      <c r="BS26" s="22"/>
      <c r="BT26" s="22">
        <f t="shared" si="22"/>
        <v>0</v>
      </c>
      <c r="BU26" s="22">
        <f t="shared" si="160"/>
        <v>0</v>
      </c>
      <c r="BV26" s="22"/>
      <c r="BW26" s="22">
        <f t="shared" si="23"/>
        <v>0</v>
      </c>
      <c r="BX26" s="22">
        <f t="shared" si="161"/>
        <v>0</v>
      </c>
      <c r="BY26" s="22"/>
      <c r="BZ26" s="22">
        <f t="shared" si="24"/>
        <v>0</v>
      </c>
      <c r="CA26" s="22">
        <f t="shared" si="162"/>
        <v>0</v>
      </c>
      <c r="CB26" s="22"/>
      <c r="CC26" s="22">
        <f t="shared" si="25"/>
        <v>0</v>
      </c>
      <c r="CD26" s="22">
        <f t="shared" si="163"/>
        <v>0</v>
      </c>
      <c r="CE26" s="22"/>
      <c r="CF26" s="22">
        <f t="shared" si="26"/>
        <v>0</v>
      </c>
      <c r="CG26" s="22">
        <f t="shared" si="164"/>
        <v>0</v>
      </c>
      <c r="CH26" s="22"/>
      <c r="CI26" s="22">
        <f t="shared" si="27"/>
        <v>0</v>
      </c>
      <c r="CJ26" s="22">
        <f t="shared" si="165"/>
        <v>0</v>
      </c>
      <c r="CK26" s="22"/>
      <c r="CL26" s="22">
        <f t="shared" si="28"/>
        <v>0</v>
      </c>
      <c r="CM26" s="22">
        <f t="shared" si="166"/>
        <v>0</v>
      </c>
      <c r="CN26" s="22"/>
      <c r="CO26" s="22">
        <f t="shared" si="29"/>
        <v>0</v>
      </c>
      <c r="CP26" s="22">
        <f t="shared" si="167"/>
        <v>0</v>
      </c>
      <c r="CQ26" s="22"/>
      <c r="CR26" s="22">
        <f t="shared" si="30"/>
        <v>0</v>
      </c>
      <c r="CS26" s="22">
        <f t="shared" si="168"/>
        <v>0</v>
      </c>
      <c r="CT26" s="22"/>
      <c r="CU26" s="22">
        <f t="shared" si="31"/>
        <v>0</v>
      </c>
      <c r="CV26" s="22">
        <f t="shared" si="169"/>
        <v>0</v>
      </c>
      <c r="CW26" s="22"/>
      <c r="CX26" s="22">
        <f t="shared" si="32"/>
        <v>0</v>
      </c>
      <c r="CY26" s="22">
        <f t="shared" si="170"/>
        <v>0</v>
      </c>
      <c r="CZ26" s="22"/>
      <c r="DA26" s="22">
        <f t="shared" si="33"/>
        <v>0</v>
      </c>
      <c r="DB26" s="22">
        <f t="shared" si="171"/>
        <v>0</v>
      </c>
      <c r="DC26" s="22"/>
      <c r="DD26" s="22">
        <f t="shared" si="34"/>
        <v>0</v>
      </c>
      <c r="DE26" s="22">
        <f t="shared" si="172"/>
        <v>0</v>
      </c>
      <c r="DF26" s="22"/>
      <c r="DG26" s="22">
        <f t="shared" si="35"/>
        <v>0</v>
      </c>
      <c r="DH26" s="22">
        <f t="shared" si="173"/>
        <v>0</v>
      </c>
      <c r="DI26" s="22"/>
      <c r="DJ26" s="22">
        <f t="shared" si="36"/>
        <v>0</v>
      </c>
      <c r="DK26" s="22">
        <f t="shared" si="174"/>
        <v>0</v>
      </c>
      <c r="DL26" s="22"/>
      <c r="DM26" s="22">
        <f t="shared" si="37"/>
        <v>0</v>
      </c>
      <c r="DN26" s="22">
        <f t="shared" si="175"/>
        <v>0</v>
      </c>
      <c r="DO26" s="22"/>
      <c r="DP26" s="22">
        <f t="shared" si="38"/>
        <v>0</v>
      </c>
      <c r="DQ26" s="22">
        <f t="shared" si="176"/>
        <v>0</v>
      </c>
      <c r="DR26" s="22"/>
      <c r="DS26" s="22">
        <f t="shared" si="39"/>
        <v>0</v>
      </c>
      <c r="DT26" s="22">
        <f t="shared" si="177"/>
        <v>0</v>
      </c>
      <c r="DU26" s="22"/>
      <c r="DV26" s="22">
        <f t="shared" si="40"/>
        <v>0</v>
      </c>
      <c r="DW26" s="22">
        <f t="shared" si="178"/>
        <v>0</v>
      </c>
      <c r="DX26" s="22"/>
      <c r="DY26" s="22">
        <f t="shared" si="41"/>
        <v>0</v>
      </c>
      <c r="DZ26" s="22">
        <f t="shared" si="179"/>
        <v>0</v>
      </c>
      <c r="EA26" s="22">
        <v>1</v>
      </c>
      <c r="EB26" s="22">
        <f t="shared" si="42"/>
        <v>3</v>
      </c>
      <c r="EC26" s="22">
        <f t="shared" si="180"/>
        <v>0</v>
      </c>
      <c r="ED26" s="22">
        <v>1</v>
      </c>
      <c r="EE26" s="22">
        <f t="shared" si="43"/>
        <v>2</v>
      </c>
      <c r="EF26" s="22">
        <f t="shared" si="181"/>
        <v>0</v>
      </c>
      <c r="EG26" s="22">
        <v>1</v>
      </c>
      <c r="EH26" s="22">
        <f t="shared" si="44"/>
        <v>0</v>
      </c>
      <c r="EI26" s="22">
        <f t="shared" si="182"/>
        <v>0</v>
      </c>
      <c r="EJ26" s="22"/>
      <c r="EK26" s="22">
        <f t="shared" si="45"/>
        <v>0</v>
      </c>
      <c r="EL26" s="22">
        <f t="shared" si="183"/>
        <v>0</v>
      </c>
      <c r="EM26" s="22"/>
      <c r="EN26" s="22">
        <f t="shared" si="46"/>
        <v>0</v>
      </c>
      <c r="EO26" s="22">
        <f t="shared" si="184"/>
        <v>0</v>
      </c>
    </row>
    <row r="27" spans="1:145">
      <c r="A27" s="15">
        <v>22</v>
      </c>
      <c r="B27" s="17" t="s">
        <v>529</v>
      </c>
      <c r="C27" s="16" t="s">
        <v>378</v>
      </c>
      <c r="D27" s="17" t="s">
        <v>530</v>
      </c>
      <c r="E27" s="15" t="s">
        <v>399</v>
      </c>
      <c r="F27" s="19">
        <f t="shared" si="0"/>
        <v>1</v>
      </c>
      <c r="G27" s="20"/>
      <c r="H27" s="21"/>
      <c r="I27" s="22">
        <f t="shared" si="1"/>
        <v>0</v>
      </c>
      <c r="J27" s="22">
        <f t="shared" si="139"/>
        <v>0</v>
      </c>
      <c r="K27" s="22"/>
      <c r="L27" s="22">
        <f t="shared" si="2"/>
        <v>0</v>
      </c>
      <c r="M27" s="22">
        <f t="shared" si="140"/>
        <v>0</v>
      </c>
      <c r="N27" s="22"/>
      <c r="O27" s="22">
        <f t="shared" si="3"/>
        <v>0</v>
      </c>
      <c r="P27" s="22">
        <f t="shared" si="141"/>
        <v>0</v>
      </c>
      <c r="Q27" s="22"/>
      <c r="R27" s="22">
        <f t="shared" si="4"/>
        <v>0</v>
      </c>
      <c r="S27" s="22">
        <f t="shared" si="142"/>
        <v>0</v>
      </c>
      <c r="T27" s="22">
        <v>1</v>
      </c>
      <c r="U27" s="22">
        <f t="shared" si="5"/>
        <v>1</v>
      </c>
      <c r="V27" s="22">
        <f t="shared" si="143"/>
        <v>0</v>
      </c>
      <c r="W27" s="22"/>
      <c r="X27" s="22">
        <f t="shared" si="6"/>
        <v>0</v>
      </c>
      <c r="Y27" s="22">
        <f t="shared" si="144"/>
        <v>0</v>
      </c>
      <c r="Z27" s="22"/>
      <c r="AA27" s="22">
        <f t="shared" si="7"/>
        <v>0</v>
      </c>
      <c r="AB27" s="22">
        <f t="shared" si="145"/>
        <v>0</v>
      </c>
      <c r="AC27" s="22"/>
      <c r="AD27" s="22">
        <f t="shared" si="8"/>
        <v>0</v>
      </c>
      <c r="AE27" s="22">
        <f t="shared" si="146"/>
        <v>0</v>
      </c>
      <c r="AF27" s="22"/>
      <c r="AG27" s="22">
        <f t="shared" si="9"/>
        <v>0</v>
      </c>
      <c r="AH27" s="22">
        <f t="shared" si="147"/>
        <v>0</v>
      </c>
      <c r="AI27" s="22"/>
      <c r="AJ27" s="22">
        <f t="shared" si="10"/>
        <v>0</v>
      </c>
      <c r="AK27" s="22">
        <f t="shared" si="148"/>
        <v>0</v>
      </c>
      <c r="AL27" s="22"/>
      <c r="AM27" s="22">
        <f t="shared" si="11"/>
        <v>0</v>
      </c>
      <c r="AN27" s="22">
        <f t="shared" si="149"/>
        <v>0</v>
      </c>
      <c r="AO27" s="22"/>
      <c r="AP27" s="22">
        <f t="shared" si="12"/>
        <v>0</v>
      </c>
      <c r="AQ27" s="22">
        <f t="shared" si="150"/>
        <v>0</v>
      </c>
      <c r="AR27" s="22"/>
      <c r="AS27" s="22">
        <f t="shared" si="13"/>
        <v>0</v>
      </c>
      <c r="AT27" s="22">
        <f t="shared" si="151"/>
        <v>0</v>
      </c>
      <c r="AU27" s="22"/>
      <c r="AV27" s="22">
        <f t="shared" si="14"/>
        <v>0</v>
      </c>
      <c r="AW27" s="22">
        <f t="shared" si="152"/>
        <v>0</v>
      </c>
      <c r="AX27" s="22"/>
      <c r="AY27" s="22">
        <f t="shared" si="15"/>
        <v>0</v>
      </c>
      <c r="AZ27" s="22">
        <f t="shared" si="153"/>
        <v>0</v>
      </c>
      <c r="BA27" s="22"/>
      <c r="BB27" s="22">
        <f t="shared" si="16"/>
        <v>0</v>
      </c>
      <c r="BC27" s="22">
        <f t="shared" si="154"/>
        <v>0</v>
      </c>
      <c r="BD27" s="22"/>
      <c r="BE27" s="22">
        <f t="shared" si="17"/>
        <v>0</v>
      </c>
      <c r="BF27" s="22">
        <f t="shared" si="155"/>
        <v>0</v>
      </c>
      <c r="BG27" s="22"/>
      <c r="BH27" s="22">
        <f t="shared" si="18"/>
        <v>0</v>
      </c>
      <c r="BI27" s="22">
        <f t="shared" si="156"/>
        <v>0</v>
      </c>
      <c r="BJ27" s="22"/>
      <c r="BK27" s="22">
        <f t="shared" si="19"/>
        <v>0</v>
      </c>
      <c r="BL27" s="22">
        <f t="shared" si="157"/>
        <v>0</v>
      </c>
      <c r="BM27" s="22"/>
      <c r="BN27" s="22">
        <f t="shared" si="20"/>
        <v>0</v>
      </c>
      <c r="BO27" s="22">
        <f t="shared" si="158"/>
        <v>0</v>
      </c>
      <c r="BP27" s="22"/>
      <c r="BQ27" s="22">
        <f t="shared" si="21"/>
        <v>0</v>
      </c>
      <c r="BR27" s="22">
        <f t="shared" si="159"/>
        <v>0</v>
      </c>
      <c r="BS27" s="22"/>
      <c r="BT27" s="22">
        <f t="shared" si="22"/>
        <v>0</v>
      </c>
      <c r="BU27" s="22">
        <f t="shared" si="160"/>
        <v>0</v>
      </c>
      <c r="BV27" s="22"/>
      <c r="BW27" s="22">
        <f t="shared" si="23"/>
        <v>0</v>
      </c>
      <c r="BX27" s="22">
        <f t="shared" si="161"/>
        <v>0</v>
      </c>
      <c r="BY27" s="22"/>
      <c r="BZ27" s="22">
        <f t="shared" si="24"/>
        <v>0</v>
      </c>
      <c r="CA27" s="22">
        <f t="shared" si="162"/>
        <v>0</v>
      </c>
      <c r="CB27" s="22"/>
      <c r="CC27" s="22">
        <f t="shared" si="25"/>
        <v>0</v>
      </c>
      <c r="CD27" s="22">
        <f t="shared" si="163"/>
        <v>0</v>
      </c>
      <c r="CE27" s="22"/>
      <c r="CF27" s="22">
        <f t="shared" si="26"/>
        <v>0</v>
      </c>
      <c r="CG27" s="22">
        <f t="shared" si="164"/>
        <v>0</v>
      </c>
      <c r="CH27" s="22"/>
      <c r="CI27" s="22">
        <f t="shared" si="27"/>
        <v>0</v>
      </c>
      <c r="CJ27" s="22">
        <f t="shared" si="165"/>
        <v>0</v>
      </c>
      <c r="CK27" s="22"/>
      <c r="CL27" s="22">
        <f t="shared" si="28"/>
        <v>0</v>
      </c>
      <c r="CM27" s="22">
        <f t="shared" si="166"/>
        <v>0</v>
      </c>
      <c r="CN27" s="22"/>
      <c r="CO27" s="22">
        <f t="shared" si="29"/>
        <v>0</v>
      </c>
      <c r="CP27" s="22">
        <f t="shared" si="167"/>
        <v>0</v>
      </c>
      <c r="CQ27" s="22"/>
      <c r="CR27" s="22">
        <f t="shared" si="30"/>
        <v>0</v>
      </c>
      <c r="CS27" s="22">
        <f t="shared" si="168"/>
        <v>0</v>
      </c>
      <c r="CT27" s="22"/>
      <c r="CU27" s="22">
        <f t="shared" si="31"/>
        <v>0</v>
      </c>
      <c r="CV27" s="22">
        <f t="shared" si="169"/>
        <v>0</v>
      </c>
      <c r="CW27" s="22"/>
      <c r="CX27" s="22">
        <f t="shared" si="32"/>
        <v>0</v>
      </c>
      <c r="CY27" s="22">
        <f t="shared" si="170"/>
        <v>0</v>
      </c>
      <c r="CZ27" s="22"/>
      <c r="DA27" s="22">
        <f t="shared" si="33"/>
        <v>0</v>
      </c>
      <c r="DB27" s="22">
        <f t="shared" si="171"/>
        <v>0</v>
      </c>
      <c r="DC27" s="22"/>
      <c r="DD27" s="22">
        <f t="shared" si="34"/>
        <v>0</v>
      </c>
      <c r="DE27" s="22">
        <f t="shared" si="172"/>
        <v>0</v>
      </c>
      <c r="DF27" s="22"/>
      <c r="DG27" s="22">
        <f t="shared" si="35"/>
        <v>0</v>
      </c>
      <c r="DH27" s="22">
        <f t="shared" si="173"/>
        <v>0</v>
      </c>
      <c r="DI27" s="22"/>
      <c r="DJ27" s="22">
        <f t="shared" si="36"/>
        <v>0</v>
      </c>
      <c r="DK27" s="22">
        <f t="shared" si="174"/>
        <v>0</v>
      </c>
      <c r="DL27" s="22"/>
      <c r="DM27" s="22">
        <f t="shared" si="37"/>
        <v>0</v>
      </c>
      <c r="DN27" s="22">
        <f t="shared" si="175"/>
        <v>0</v>
      </c>
      <c r="DO27" s="22"/>
      <c r="DP27" s="22">
        <f t="shared" si="38"/>
        <v>0</v>
      </c>
      <c r="DQ27" s="22">
        <f t="shared" si="176"/>
        <v>0</v>
      </c>
      <c r="DR27" s="22"/>
      <c r="DS27" s="22">
        <f t="shared" si="39"/>
        <v>0</v>
      </c>
      <c r="DT27" s="22">
        <f t="shared" si="177"/>
        <v>0</v>
      </c>
      <c r="DU27" s="22"/>
      <c r="DV27" s="22">
        <f t="shared" si="40"/>
        <v>0</v>
      </c>
      <c r="DW27" s="22">
        <f t="shared" si="178"/>
        <v>0</v>
      </c>
      <c r="DX27" s="22"/>
      <c r="DY27" s="22">
        <f t="shared" si="41"/>
        <v>0</v>
      </c>
      <c r="DZ27" s="22">
        <f t="shared" si="179"/>
        <v>0</v>
      </c>
      <c r="EA27" s="22"/>
      <c r="EB27" s="22">
        <f t="shared" si="42"/>
        <v>0</v>
      </c>
      <c r="EC27" s="22">
        <f t="shared" si="180"/>
        <v>0</v>
      </c>
      <c r="ED27" s="22"/>
      <c r="EE27" s="22">
        <f t="shared" si="43"/>
        <v>0</v>
      </c>
      <c r="EF27" s="22">
        <f t="shared" si="181"/>
        <v>0</v>
      </c>
      <c r="EG27" s="22"/>
      <c r="EH27" s="22">
        <f t="shared" si="44"/>
        <v>0</v>
      </c>
      <c r="EI27" s="22">
        <f t="shared" si="182"/>
        <v>0</v>
      </c>
      <c r="EJ27" s="22"/>
      <c r="EK27" s="22">
        <f t="shared" si="45"/>
        <v>0</v>
      </c>
      <c r="EL27" s="22">
        <f t="shared" si="183"/>
        <v>0</v>
      </c>
      <c r="EM27" s="22"/>
      <c r="EN27" s="22">
        <f t="shared" si="46"/>
        <v>0</v>
      </c>
      <c r="EO27" s="22">
        <f t="shared" si="184"/>
        <v>0</v>
      </c>
    </row>
    <row r="28" spans="1:145">
      <c r="A28" s="15">
        <v>23</v>
      </c>
      <c r="B28" s="17" t="s">
        <v>531</v>
      </c>
      <c r="C28" s="17" t="s">
        <v>397</v>
      </c>
      <c r="D28" s="17" t="s">
        <v>532</v>
      </c>
      <c r="E28" s="15" t="s">
        <v>399</v>
      </c>
      <c r="F28" s="19">
        <f t="shared" si="0"/>
        <v>1</v>
      </c>
      <c r="G28" s="20"/>
      <c r="H28" s="21"/>
      <c r="I28" s="22">
        <f t="shared" si="1"/>
        <v>0</v>
      </c>
      <c r="J28" s="22">
        <f t="shared" si="139"/>
        <v>0</v>
      </c>
      <c r="K28" s="22"/>
      <c r="L28" s="22">
        <f t="shared" si="2"/>
        <v>0</v>
      </c>
      <c r="M28" s="22">
        <f t="shared" si="140"/>
        <v>0</v>
      </c>
      <c r="N28" s="22"/>
      <c r="O28" s="22">
        <f t="shared" si="3"/>
        <v>0</v>
      </c>
      <c r="P28" s="22">
        <f t="shared" si="141"/>
        <v>0</v>
      </c>
      <c r="Q28" s="22"/>
      <c r="R28" s="22">
        <f t="shared" si="4"/>
        <v>0</v>
      </c>
      <c r="S28" s="22">
        <f t="shared" si="142"/>
        <v>0</v>
      </c>
      <c r="T28" s="22">
        <v>1</v>
      </c>
      <c r="U28" s="22">
        <f t="shared" si="5"/>
        <v>1</v>
      </c>
      <c r="V28" s="22">
        <f t="shared" si="143"/>
        <v>0</v>
      </c>
      <c r="W28" s="22"/>
      <c r="X28" s="22">
        <f t="shared" si="6"/>
        <v>0</v>
      </c>
      <c r="Y28" s="22">
        <f t="shared" si="144"/>
        <v>0</v>
      </c>
      <c r="Z28" s="22"/>
      <c r="AA28" s="22">
        <f t="shared" si="7"/>
        <v>0</v>
      </c>
      <c r="AB28" s="22">
        <f t="shared" si="145"/>
        <v>0</v>
      </c>
      <c r="AC28" s="22"/>
      <c r="AD28" s="22">
        <f t="shared" si="8"/>
        <v>0</v>
      </c>
      <c r="AE28" s="22">
        <f t="shared" si="146"/>
        <v>0</v>
      </c>
      <c r="AF28" s="22"/>
      <c r="AG28" s="22">
        <f t="shared" si="9"/>
        <v>0</v>
      </c>
      <c r="AH28" s="22">
        <f t="shared" si="147"/>
        <v>0</v>
      </c>
      <c r="AI28" s="22"/>
      <c r="AJ28" s="22">
        <f t="shared" si="10"/>
        <v>0</v>
      </c>
      <c r="AK28" s="22">
        <f t="shared" si="148"/>
        <v>0</v>
      </c>
      <c r="AL28" s="22"/>
      <c r="AM28" s="22">
        <f t="shared" si="11"/>
        <v>0</v>
      </c>
      <c r="AN28" s="22">
        <f t="shared" si="149"/>
        <v>0</v>
      </c>
      <c r="AO28" s="22"/>
      <c r="AP28" s="22">
        <f t="shared" si="12"/>
        <v>0</v>
      </c>
      <c r="AQ28" s="22">
        <f t="shared" si="150"/>
        <v>0</v>
      </c>
      <c r="AR28" s="22"/>
      <c r="AS28" s="22">
        <f t="shared" si="13"/>
        <v>0</v>
      </c>
      <c r="AT28" s="22">
        <f t="shared" si="151"/>
        <v>0</v>
      </c>
      <c r="AU28" s="22"/>
      <c r="AV28" s="22">
        <f t="shared" si="14"/>
        <v>0</v>
      </c>
      <c r="AW28" s="22">
        <f t="shared" si="152"/>
        <v>0</v>
      </c>
      <c r="AX28" s="22"/>
      <c r="AY28" s="22">
        <f t="shared" si="15"/>
        <v>0</v>
      </c>
      <c r="AZ28" s="22">
        <f t="shared" si="153"/>
        <v>0</v>
      </c>
      <c r="BA28" s="22"/>
      <c r="BB28" s="22">
        <f t="shared" si="16"/>
        <v>0</v>
      </c>
      <c r="BC28" s="22">
        <f t="shared" si="154"/>
        <v>0</v>
      </c>
      <c r="BD28" s="22"/>
      <c r="BE28" s="22">
        <f t="shared" si="17"/>
        <v>0</v>
      </c>
      <c r="BF28" s="22">
        <f t="shared" si="155"/>
        <v>0</v>
      </c>
      <c r="BG28" s="22"/>
      <c r="BH28" s="22">
        <f t="shared" si="18"/>
        <v>0</v>
      </c>
      <c r="BI28" s="22">
        <f t="shared" si="156"/>
        <v>0</v>
      </c>
      <c r="BJ28" s="22"/>
      <c r="BK28" s="22">
        <f t="shared" si="19"/>
        <v>0</v>
      </c>
      <c r="BL28" s="22">
        <f t="shared" si="157"/>
        <v>0</v>
      </c>
      <c r="BM28" s="22"/>
      <c r="BN28" s="22">
        <f t="shared" si="20"/>
        <v>0</v>
      </c>
      <c r="BO28" s="22">
        <f t="shared" si="158"/>
        <v>0</v>
      </c>
      <c r="BP28" s="22"/>
      <c r="BQ28" s="22">
        <f t="shared" si="21"/>
        <v>0</v>
      </c>
      <c r="BR28" s="22">
        <f t="shared" si="159"/>
        <v>0</v>
      </c>
      <c r="BS28" s="22"/>
      <c r="BT28" s="22">
        <f t="shared" si="22"/>
        <v>0</v>
      </c>
      <c r="BU28" s="22">
        <f t="shared" si="160"/>
        <v>0</v>
      </c>
      <c r="BV28" s="22"/>
      <c r="BW28" s="22">
        <f t="shared" si="23"/>
        <v>0</v>
      </c>
      <c r="BX28" s="22">
        <f t="shared" si="161"/>
        <v>0</v>
      </c>
      <c r="BY28" s="22"/>
      <c r="BZ28" s="22">
        <f t="shared" si="24"/>
        <v>0</v>
      </c>
      <c r="CA28" s="22">
        <f t="shared" si="162"/>
        <v>0</v>
      </c>
      <c r="CB28" s="22"/>
      <c r="CC28" s="22">
        <f t="shared" si="25"/>
        <v>0</v>
      </c>
      <c r="CD28" s="22">
        <f t="shared" si="163"/>
        <v>0</v>
      </c>
      <c r="CE28" s="22"/>
      <c r="CF28" s="22">
        <f t="shared" si="26"/>
        <v>0</v>
      </c>
      <c r="CG28" s="22">
        <f t="shared" si="164"/>
        <v>0</v>
      </c>
      <c r="CH28" s="22"/>
      <c r="CI28" s="22">
        <f t="shared" si="27"/>
        <v>0</v>
      </c>
      <c r="CJ28" s="22">
        <f t="shared" si="165"/>
        <v>0</v>
      </c>
      <c r="CK28" s="22"/>
      <c r="CL28" s="22">
        <f t="shared" si="28"/>
        <v>0</v>
      </c>
      <c r="CM28" s="22">
        <f t="shared" si="166"/>
        <v>0</v>
      </c>
      <c r="CN28" s="22"/>
      <c r="CO28" s="22">
        <f t="shared" si="29"/>
        <v>0</v>
      </c>
      <c r="CP28" s="22">
        <f t="shared" si="167"/>
        <v>0</v>
      </c>
      <c r="CQ28" s="22"/>
      <c r="CR28" s="22">
        <f t="shared" si="30"/>
        <v>0</v>
      </c>
      <c r="CS28" s="22">
        <f t="shared" si="168"/>
        <v>0</v>
      </c>
      <c r="CT28" s="22"/>
      <c r="CU28" s="22">
        <f t="shared" si="31"/>
        <v>0</v>
      </c>
      <c r="CV28" s="22">
        <f t="shared" si="169"/>
        <v>0</v>
      </c>
      <c r="CW28" s="22"/>
      <c r="CX28" s="22">
        <f t="shared" si="32"/>
        <v>0</v>
      </c>
      <c r="CY28" s="22">
        <f t="shared" si="170"/>
        <v>0</v>
      </c>
      <c r="CZ28" s="22"/>
      <c r="DA28" s="22">
        <f t="shared" si="33"/>
        <v>0</v>
      </c>
      <c r="DB28" s="22">
        <f t="shared" si="171"/>
        <v>0</v>
      </c>
      <c r="DC28" s="22"/>
      <c r="DD28" s="22">
        <f t="shared" si="34"/>
        <v>0</v>
      </c>
      <c r="DE28" s="22">
        <f t="shared" si="172"/>
        <v>0</v>
      </c>
      <c r="DF28" s="22"/>
      <c r="DG28" s="22">
        <f t="shared" si="35"/>
        <v>0</v>
      </c>
      <c r="DH28" s="22">
        <f t="shared" si="173"/>
        <v>0</v>
      </c>
      <c r="DI28" s="22"/>
      <c r="DJ28" s="22">
        <f t="shared" si="36"/>
        <v>0</v>
      </c>
      <c r="DK28" s="22">
        <f t="shared" si="174"/>
        <v>0</v>
      </c>
      <c r="DL28" s="22"/>
      <c r="DM28" s="22">
        <f t="shared" si="37"/>
        <v>0</v>
      </c>
      <c r="DN28" s="22">
        <f t="shared" si="175"/>
        <v>0</v>
      </c>
      <c r="DO28" s="22"/>
      <c r="DP28" s="22">
        <f t="shared" si="38"/>
        <v>0</v>
      </c>
      <c r="DQ28" s="22">
        <f t="shared" si="176"/>
        <v>0</v>
      </c>
      <c r="DR28" s="22"/>
      <c r="DS28" s="22">
        <f t="shared" si="39"/>
        <v>0</v>
      </c>
      <c r="DT28" s="22">
        <f t="shared" si="177"/>
        <v>0</v>
      </c>
      <c r="DU28" s="22"/>
      <c r="DV28" s="22">
        <f t="shared" si="40"/>
        <v>0</v>
      </c>
      <c r="DW28" s="22">
        <f t="shared" si="178"/>
        <v>0</v>
      </c>
      <c r="DX28" s="22"/>
      <c r="DY28" s="22">
        <f t="shared" si="41"/>
        <v>0</v>
      </c>
      <c r="DZ28" s="22">
        <f t="shared" si="179"/>
        <v>0</v>
      </c>
      <c r="EA28" s="22"/>
      <c r="EB28" s="22">
        <f t="shared" si="42"/>
        <v>0</v>
      </c>
      <c r="EC28" s="22">
        <f t="shared" si="180"/>
        <v>0</v>
      </c>
      <c r="ED28" s="22"/>
      <c r="EE28" s="22">
        <f t="shared" si="43"/>
        <v>0</v>
      </c>
      <c r="EF28" s="22">
        <f t="shared" si="181"/>
        <v>0</v>
      </c>
      <c r="EG28" s="22"/>
      <c r="EH28" s="22">
        <f t="shared" si="44"/>
        <v>0</v>
      </c>
      <c r="EI28" s="22">
        <f t="shared" si="182"/>
        <v>0</v>
      </c>
      <c r="EJ28" s="22"/>
      <c r="EK28" s="22">
        <f t="shared" si="45"/>
        <v>0</v>
      </c>
      <c r="EL28" s="22">
        <f t="shared" si="183"/>
        <v>0</v>
      </c>
      <c r="EM28" s="22"/>
      <c r="EN28" s="22">
        <f t="shared" si="46"/>
        <v>0</v>
      </c>
      <c r="EO28" s="22">
        <f t="shared" si="184"/>
        <v>0</v>
      </c>
    </row>
    <row r="29" spans="1:145">
      <c r="A29" s="15">
        <v>24</v>
      </c>
      <c r="B29" s="16" t="s">
        <v>533</v>
      </c>
      <c r="C29" s="16" t="s">
        <v>534</v>
      </c>
      <c r="D29" s="50" t="s">
        <v>535</v>
      </c>
      <c r="E29" s="15" t="s">
        <v>536</v>
      </c>
      <c r="F29" s="19">
        <f t="shared" si="0"/>
        <v>1</v>
      </c>
      <c r="G29" s="20"/>
      <c r="H29" s="21"/>
      <c r="I29" s="22">
        <f t="shared" si="1"/>
        <v>0</v>
      </c>
      <c r="J29" s="22">
        <f t="shared" si="139"/>
        <v>0</v>
      </c>
      <c r="K29" s="22"/>
      <c r="L29" s="22">
        <f t="shared" si="2"/>
        <v>0</v>
      </c>
      <c r="M29" s="22">
        <f t="shared" si="140"/>
        <v>0</v>
      </c>
      <c r="N29" s="22"/>
      <c r="O29" s="22">
        <f t="shared" si="3"/>
        <v>0</v>
      </c>
      <c r="P29" s="22">
        <f t="shared" si="141"/>
        <v>0</v>
      </c>
      <c r="Q29" s="22"/>
      <c r="R29" s="22">
        <f t="shared" si="4"/>
        <v>0</v>
      </c>
      <c r="S29" s="22">
        <f t="shared" si="142"/>
        <v>0</v>
      </c>
      <c r="T29" s="22">
        <v>1</v>
      </c>
      <c r="U29" s="22">
        <f t="shared" si="5"/>
        <v>1</v>
      </c>
      <c r="V29" s="22">
        <f t="shared" si="143"/>
        <v>0</v>
      </c>
      <c r="W29" s="22"/>
      <c r="X29" s="22">
        <f t="shared" si="6"/>
        <v>0</v>
      </c>
      <c r="Y29" s="22">
        <f t="shared" si="144"/>
        <v>0</v>
      </c>
      <c r="Z29" s="22"/>
      <c r="AA29" s="22">
        <f t="shared" si="7"/>
        <v>0</v>
      </c>
      <c r="AB29" s="22">
        <f t="shared" si="145"/>
        <v>0</v>
      </c>
      <c r="AC29" s="22"/>
      <c r="AD29" s="22">
        <f t="shared" si="8"/>
        <v>0</v>
      </c>
      <c r="AE29" s="22">
        <f t="shared" si="146"/>
        <v>0</v>
      </c>
      <c r="AF29" s="22"/>
      <c r="AG29" s="22">
        <f t="shared" si="9"/>
        <v>0</v>
      </c>
      <c r="AH29" s="22">
        <f t="shared" si="147"/>
        <v>0</v>
      </c>
      <c r="AI29" s="22"/>
      <c r="AJ29" s="22">
        <f t="shared" si="10"/>
        <v>0</v>
      </c>
      <c r="AK29" s="22">
        <f t="shared" si="148"/>
        <v>0</v>
      </c>
      <c r="AL29" s="22"/>
      <c r="AM29" s="22">
        <f t="shared" si="11"/>
        <v>0</v>
      </c>
      <c r="AN29" s="22">
        <f t="shared" si="149"/>
        <v>0</v>
      </c>
      <c r="AO29" s="22"/>
      <c r="AP29" s="22">
        <f t="shared" si="12"/>
        <v>0</v>
      </c>
      <c r="AQ29" s="22">
        <f t="shared" si="150"/>
        <v>0</v>
      </c>
      <c r="AR29" s="22"/>
      <c r="AS29" s="22">
        <f t="shared" si="13"/>
        <v>0</v>
      </c>
      <c r="AT29" s="22">
        <f t="shared" si="151"/>
        <v>0</v>
      </c>
      <c r="AU29" s="22"/>
      <c r="AV29" s="22">
        <f t="shared" si="14"/>
        <v>0</v>
      </c>
      <c r="AW29" s="22">
        <f t="shared" si="152"/>
        <v>0</v>
      </c>
      <c r="AX29" s="22"/>
      <c r="AY29" s="22">
        <f t="shared" si="15"/>
        <v>0</v>
      </c>
      <c r="AZ29" s="22">
        <f t="shared" si="153"/>
        <v>0</v>
      </c>
      <c r="BA29" s="22"/>
      <c r="BB29" s="22">
        <f t="shared" si="16"/>
        <v>0</v>
      </c>
      <c r="BC29" s="22">
        <f t="shared" si="154"/>
        <v>0</v>
      </c>
      <c r="BD29" s="22"/>
      <c r="BE29" s="22">
        <f t="shared" si="17"/>
        <v>0</v>
      </c>
      <c r="BF29" s="22">
        <f t="shared" si="155"/>
        <v>0</v>
      </c>
      <c r="BG29" s="22"/>
      <c r="BH29" s="22">
        <f t="shared" si="18"/>
        <v>0</v>
      </c>
      <c r="BI29" s="22">
        <f t="shared" si="156"/>
        <v>0</v>
      </c>
      <c r="BJ29" s="22"/>
      <c r="BK29" s="22">
        <f t="shared" si="19"/>
        <v>0</v>
      </c>
      <c r="BL29" s="22">
        <f t="shared" si="157"/>
        <v>0</v>
      </c>
      <c r="BM29" s="22"/>
      <c r="BN29" s="22">
        <f t="shared" si="20"/>
        <v>0</v>
      </c>
      <c r="BO29" s="22">
        <f t="shared" si="158"/>
        <v>0</v>
      </c>
      <c r="BP29" s="22"/>
      <c r="BQ29" s="22">
        <f t="shared" si="21"/>
        <v>0</v>
      </c>
      <c r="BR29" s="22">
        <f t="shared" si="159"/>
        <v>0</v>
      </c>
      <c r="BS29" s="22"/>
      <c r="BT29" s="22">
        <f t="shared" si="22"/>
        <v>0</v>
      </c>
      <c r="BU29" s="22">
        <f t="shared" si="160"/>
        <v>0</v>
      </c>
      <c r="BV29" s="22"/>
      <c r="BW29" s="22">
        <f t="shared" si="23"/>
        <v>0</v>
      </c>
      <c r="BX29" s="22">
        <f t="shared" si="161"/>
        <v>0</v>
      </c>
      <c r="BY29" s="22"/>
      <c r="BZ29" s="22">
        <f t="shared" si="24"/>
        <v>0</v>
      </c>
      <c r="CA29" s="22">
        <f t="shared" si="162"/>
        <v>0</v>
      </c>
      <c r="CB29" s="22"/>
      <c r="CC29" s="22">
        <f t="shared" si="25"/>
        <v>0</v>
      </c>
      <c r="CD29" s="22">
        <f t="shared" si="163"/>
        <v>0</v>
      </c>
      <c r="CE29" s="22"/>
      <c r="CF29" s="22">
        <f t="shared" si="26"/>
        <v>0</v>
      </c>
      <c r="CG29" s="22">
        <f t="shared" si="164"/>
        <v>0</v>
      </c>
      <c r="CH29" s="22"/>
      <c r="CI29" s="22">
        <f t="shared" si="27"/>
        <v>0</v>
      </c>
      <c r="CJ29" s="22">
        <f t="shared" si="165"/>
        <v>0</v>
      </c>
      <c r="CK29" s="22"/>
      <c r="CL29" s="22">
        <f t="shared" si="28"/>
        <v>0</v>
      </c>
      <c r="CM29" s="22">
        <f t="shared" si="166"/>
        <v>0</v>
      </c>
      <c r="CN29" s="22"/>
      <c r="CO29" s="22">
        <f t="shared" si="29"/>
        <v>0</v>
      </c>
      <c r="CP29" s="22">
        <f t="shared" si="167"/>
        <v>0</v>
      </c>
      <c r="CQ29" s="22"/>
      <c r="CR29" s="22">
        <f t="shared" si="30"/>
        <v>0</v>
      </c>
      <c r="CS29" s="22">
        <f t="shared" si="168"/>
        <v>0</v>
      </c>
      <c r="CT29" s="22"/>
      <c r="CU29" s="22">
        <f t="shared" si="31"/>
        <v>0</v>
      </c>
      <c r="CV29" s="22">
        <f t="shared" si="169"/>
        <v>0</v>
      </c>
      <c r="CW29" s="22"/>
      <c r="CX29" s="22">
        <f t="shared" si="32"/>
        <v>0</v>
      </c>
      <c r="CY29" s="22">
        <f t="shared" si="170"/>
        <v>0</v>
      </c>
      <c r="CZ29" s="22"/>
      <c r="DA29" s="22">
        <f t="shared" si="33"/>
        <v>0</v>
      </c>
      <c r="DB29" s="22">
        <f t="shared" si="171"/>
        <v>0</v>
      </c>
      <c r="DC29" s="22"/>
      <c r="DD29" s="22">
        <f t="shared" si="34"/>
        <v>0</v>
      </c>
      <c r="DE29" s="22">
        <f t="shared" si="172"/>
        <v>0</v>
      </c>
      <c r="DF29" s="22"/>
      <c r="DG29" s="22">
        <f t="shared" si="35"/>
        <v>0</v>
      </c>
      <c r="DH29" s="22">
        <f t="shared" si="173"/>
        <v>0</v>
      </c>
      <c r="DI29" s="22"/>
      <c r="DJ29" s="22">
        <f t="shared" si="36"/>
        <v>0</v>
      </c>
      <c r="DK29" s="22">
        <f t="shared" si="174"/>
        <v>0</v>
      </c>
      <c r="DL29" s="22"/>
      <c r="DM29" s="22">
        <f t="shared" si="37"/>
        <v>0</v>
      </c>
      <c r="DN29" s="22">
        <f t="shared" si="175"/>
        <v>0</v>
      </c>
      <c r="DO29" s="22"/>
      <c r="DP29" s="22">
        <f t="shared" si="38"/>
        <v>0</v>
      </c>
      <c r="DQ29" s="22">
        <f t="shared" si="176"/>
        <v>0</v>
      </c>
      <c r="DR29" s="22"/>
      <c r="DS29" s="22">
        <f t="shared" si="39"/>
        <v>0</v>
      </c>
      <c r="DT29" s="22">
        <f t="shared" si="177"/>
        <v>0</v>
      </c>
      <c r="DU29" s="22"/>
      <c r="DV29" s="22">
        <f t="shared" si="40"/>
        <v>0</v>
      </c>
      <c r="DW29" s="22">
        <f t="shared" si="178"/>
        <v>0</v>
      </c>
      <c r="DX29" s="22"/>
      <c r="DY29" s="22">
        <f t="shared" si="41"/>
        <v>0</v>
      </c>
      <c r="DZ29" s="22">
        <f t="shared" si="179"/>
        <v>0</v>
      </c>
      <c r="EA29" s="22"/>
      <c r="EB29" s="22">
        <f t="shared" si="42"/>
        <v>0</v>
      </c>
      <c r="EC29" s="22">
        <f t="shared" si="180"/>
        <v>0</v>
      </c>
      <c r="ED29" s="22"/>
      <c r="EE29" s="22">
        <f t="shared" si="43"/>
        <v>0</v>
      </c>
      <c r="EF29" s="22">
        <f t="shared" si="181"/>
        <v>0</v>
      </c>
      <c r="EG29" s="22"/>
      <c r="EH29" s="22">
        <f t="shared" si="44"/>
        <v>0</v>
      </c>
      <c r="EI29" s="22">
        <f t="shared" si="182"/>
        <v>0</v>
      </c>
      <c r="EJ29" s="22"/>
      <c r="EK29" s="22">
        <f t="shared" si="45"/>
        <v>0</v>
      </c>
      <c r="EL29" s="22">
        <f t="shared" si="183"/>
        <v>0</v>
      </c>
      <c r="EM29" s="22"/>
      <c r="EN29" s="22">
        <f t="shared" si="46"/>
        <v>0</v>
      </c>
      <c r="EO29" s="22">
        <f t="shared" si="184"/>
        <v>0</v>
      </c>
    </row>
    <row r="30" spans="1:145">
      <c r="A30" s="15">
        <v>25</v>
      </c>
      <c r="B30" s="16" t="s">
        <v>396</v>
      </c>
      <c r="C30" s="17" t="s">
        <v>397</v>
      </c>
      <c r="D30" s="16" t="s">
        <v>398</v>
      </c>
      <c r="E30" s="15" t="s">
        <v>399</v>
      </c>
      <c r="F30" s="19">
        <f t="shared" si="0"/>
        <v>6</v>
      </c>
      <c r="G30" s="20"/>
      <c r="H30" s="21"/>
      <c r="I30" s="22">
        <f t="shared" si="1"/>
        <v>0</v>
      </c>
      <c r="J30" s="22">
        <f>$G30*H30</f>
        <v>0</v>
      </c>
      <c r="K30" s="22"/>
      <c r="L30" s="22">
        <f t="shared" si="2"/>
        <v>0</v>
      </c>
      <c r="M30" s="22">
        <f>$G30*K30</f>
        <v>0</v>
      </c>
      <c r="N30" s="22"/>
      <c r="O30" s="22">
        <f t="shared" si="3"/>
        <v>0</v>
      </c>
      <c r="P30" s="22">
        <f>$G30*N30</f>
        <v>0</v>
      </c>
      <c r="Q30" s="22"/>
      <c r="R30" s="22">
        <f t="shared" si="4"/>
        <v>0</v>
      </c>
      <c r="S30" s="22">
        <f>$G30*Q30</f>
        <v>0</v>
      </c>
      <c r="T30" s="22"/>
      <c r="U30" s="22">
        <f t="shared" si="5"/>
        <v>0</v>
      </c>
      <c r="V30" s="22">
        <f>$G30*T30</f>
        <v>0</v>
      </c>
      <c r="W30" s="22">
        <v>1</v>
      </c>
      <c r="X30" s="22">
        <f t="shared" si="6"/>
        <v>2</v>
      </c>
      <c r="Y30" s="22">
        <f>$G30*W30</f>
        <v>0</v>
      </c>
      <c r="Z30" s="22">
        <v>1</v>
      </c>
      <c r="AA30" s="22">
        <f t="shared" si="7"/>
        <v>1</v>
      </c>
      <c r="AB30" s="22">
        <f>$G30*Z30</f>
        <v>0</v>
      </c>
      <c r="AC30" s="22"/>
      <c r="AD30" s="22">
        <f t="shared" si="8"/>
        <v>0</v>
      </c>
      <c r="AE30" s="22">
        <f>$G30*AC30</f>
        <v>0</v>
      </c>
      <c r="AF30" s="22"/>
      <c r="AG30" s="22">
        <f t="shared" si="9"/>
        <v>0</v>
      </c>
      <c r="AH30" s="22">
        <f>$G30*AF30</f>
        <v>0</v>
      </c>
      <c r="AI30" s="22"/>
      <c r="AJ30" s="22">
        <f t="shared" si="10"/>
        <v>0</v>
      </c>
      <c r="AK30" s="22">
        <f>$G30*AI30</f>
        <v>0</v>
      </c>
      <c r="AL30" s="22"/>
      <c r="AM30" s="22">
        <f t="shared" si="11"/>
        <v>0</v>
      </c>
      <c r="AN30" s="22">
        <f>$G30*AL30</f>
        <v>0</v>
      </c>
      <c r="AO30" s="22">
        <v>1</v>
      </c>
      <c r="AP30" s="22">
        <f t="shared" si="12"/>
        <v>0</v>
      </c>
      <c r="AQ30" s="22">
        <f>$G30*AO30</f>
        <v>0</v>
      </c>
      <c r="AR30" s="22">
        <v>1</v>
      </c>
      <c r="AS30" s="22">
        <f t="shared" si="13"/>
        <v>0</v>
      </c>
      <c r="AT30" s="22">
        <f>$G30*AR30</f>
        <v>0</v>
      </c>
      <c r="AU30" s="22"/>
      <c r="AV30" s="22">
        <f t="shared" si="14"/>
        <v>0</v>
      </c>
      <c r="AW30" s="22">
        <f>$G30*AU30</f>
        <v>0</v>
      </c>
      <c r="AX30" s="22"/>
      <c r="AY30" s="22">
        <f t="shared" si="15"/>
        <v>0</v>
      </c>
      <c r="AZ30" s="22">
        <f>$G30*AX30</f>
        <v>0</v>
      </c>
      <c r="BA30" s="22"/>
      <c r="BB30" s="22">
        <f t="shared" si="16"/>
        <v>0</v>
      </c>
      <c r="BC30" s="22">
        <f>$G30*BA30</f>
        <v>0</v>
      </c>
      <c r="BD30" s="22"/>
      <c r="BE30" s="22">
        <f t="shared" si="17"/>
        <v>0</v>
      </c>
      <c r="BF30" s="22">
        <f>$G30*BD30</f>
        <v>0</v>
      </c>
      <c r="BG30" s="22"/>
      <c r="BH30" s="22">
        <f t="shared" si="18"/>
        <v>0</v>
      </c>
      <c r="BI30" s="22">
        <f>$G30*BG30</f>
        <v>0</v>
      </c>
      <c r="BJ30" s="22"/>
      <c r="BK30" s="22">
        <f t="shared" si="19"/>
        <v>0</v>
      </c>
      <c r="BL30" s="22">
        <f>$G30*BJ30</f>
        <v>0</v>
      </c>
      <c r="BM30" s="22"/>
      <c r="BN30" s="22">
        <f t="shared" si="20"/>
        <v>0</v>
      </c>
      <c r="BO30" s="22">
        <f>$G30*BM30</f>
        <v>0</v>
      </c>
      <c r="BP30" s="22"/>
      <c r="BQ30" s="22">
        <f t="shared" si="21"/>
        <v>0</v>
      </c>
      <c r="BR30" s="22">
        <f>$G30*BP30</f>
        <v>0</v>
      </c>
      <c r="BS30" s="22"/>
      <c r="BT30" s="22">
        <f t="shared" si="22"/>
        <v>0</v>
      </c>
      <c r="BU30" s="22">
        <f>$G30*BS30</f>
        <v>0</v>
      </c>
      <c r="BV30" s="22"/>
      <c r="BW30" s="22">
        <f t="shared" si="23"/>
        <v>0</v>
      </c>
      <c r="BX30" s="22">
        <f>$G30*BV30</f>
        <v>0</v>
      </c>
      <c r="BY30" s="22"/>
      <c r="BZ30" s="22">
        <f t="shared" si="24"/>
        <v>0</v>
      </c>
      <c r="CA30" s="22">
        <f>$G30*BY30</f>
        <v>0</v>
      </c>
      <c r="CB30" s="22"/>
      <c r="CC30" s="22">
        <f t="shared" si="25"/>
        <v>0</v>
      </c>
      <c r="CD30" s="22">
        <f>$G30*CB30</f>
        <v>0</v>
      </c>
      <c r="CE30" s="22"/>
      <c r="CF30" s="22">
        <f t="shared" si="26"/>
        <v>0</v>
      </c>
      <c r="CG30" s="22">
        <f>$G30*CE30</f>
        <v>0</v>
      </c>
      <c r="CH30" s="22"/>
      <c r="CI30" s="22">
        <f t="shared" si="27"/>
        <v>0</v>
      </c>
      <c r="CJ30" s="22">
        <f>$G30*CH30</f>
        <v>0</v>
      </c>
      <c r="CK30" s="22"/>
      <c r="CL30" s="22">
        <f t="shared" si="28"/>
        <v>0</v>
      </c>
      <c r="CM30" s="22">
        <f>$G30*CK30</f>
        <v>0</v>
      </c>
      <c r="CN30" s="22"/>
      <c r="CO30" s="22">
        <f t="shared" si="29"/>
        <v>0</v>
      </c>
      <c r="CP30" s="22">
        <f>$G30*CN30</f>
        <v>0</v>
      </c>
      <c r="CQ30" s="22"/>
      <c r="CR30" s="22">
        <f t="shared" si="30"/>
        <v>0</v>
      </c>
      <c r="CS30" s="22">
        <f>$G30*CQ30</f>
        <v>0</v>
      </c>
      <c r="CT30" s="22"/>
      <c r="CU30" s="22">
        <f t="shared" si="31"/>
        <v>0</v>
      </c>
      <c r="CV30" s="22">
        <f>$G30*CT30</f>
        <v>0</v>
      </c>
      <c r="CW30" s="22"/>
      <c r="CX30" s="22">
        <f t="shared" si="32"/>
        <v>0</v>
      </c>
      <c r="CY30" s="22">
        <f>$G30*CW30</f>
        <v>0</v>
      </c>
      <c r="CZ30" s="22"/>
      <c r="DA30" s="22">
        <f t="shared" si="33"/>
        <v>0</v>
      </c>
      <c r="DB30" s="22">
        <f>$G30*CZ30</f>
        <v>0</v>
      </c>
      <c r="DC30" s="22"/>
      <c r="DD30" s="22">
        <f t="shared" si="34"/>
        <v>0</v>
      </c>
      <c r="DE30" s="22">
        <f>$G30*DC30</f>
        <v>0</v>
      </c>
      <c r="DF30" s="22">
        <v>1</v>
      </c>
      <c r="DG30" s="22">
        <f t="shared" si="35"/>
        <v>1</v>
      </c>
      <c r="DH30" s="22">
        <f>$G30*DF30</f>
        <v>0</v>
      </c>
      <c r="DI30" s="22">
        <v>1</v>
      </c>
      <c r="DJ30" s="22">
        <f t="shared" si="36"/>
        <v>0</v>
      </c>
      <c r="DK30" s="22">
        <f>$G30*DI30</f>
        <v>0</v>
      </c>
      <c r="DL30" s="22">
        <v>1</v>
      </c>
      <c r="DM30" s="22">
        <f t="shared" si="37"/>
        <v>0</v>
      </c>
      <c r="DN30" s="22">
        <f>$G30*DL30</f>
        <v>0</v>
      </c>
      <c r="DO30" s="22">
        <v>1</v>
      </c>
      <c r="DP30" s="22">
        <f t="shared" si="38"/>
        <v>0</v>
      </c>
      <c r="DQ30" s="22">
        <f>$G30*DO30</f>
        <v>0</v>
      </c>
      <c r="DR30" s="22">
        <v>1</v>
      </c>
      <c r="DS30" s="22">
        <f t="shared" si="39"/>
        <v>0</v>
      </c>
      <c r="DT30" s="22">
        <f>$G30*DR30</f>
        <v>0</v>
      </c>
      <c r="DU30" s="22"/>
      <c r="DV30" s="22">
        <f t="shared" si="40"/>
        <v>0</v>
      </c>
      <c r="DW30" s="22">
        <f>$G30*DU30</f>
        <v>0</v>
      </c>
      <c r="DX30" s="22"/>
      <c r="DY30" s="22">
        <f t="shared" si="41"/>
        <v>0</v>
      </c>
      <c r="DZ30" s="22">
        <f>$G30*DX30</f>
        <v>0</v>
      </c>
      <c r="EA30" s="22"/>
      <c r="EB30" s="22">
        <f t="shared" si="42"/>
        <v>0</v>
      </c>
      <c r="EC30" s="22">
        <f>$G30*EA30</f>
        <v>0</v>
      </c>
      <c r="ED30" s="22">
        <v>1</v>
      </c>
      <c r="EE30" s="22">
        <f t="shared" si="43"/>
        <v>2</v>
      </c>
      <c r="EF30" s="22">
        <f>$G30*ED30</f>
        <v>0</v>
      </c>
      <c r="EG30" s="22">
        <v>1</v>
      </c>
      <c r="EH30" s="22">
        <f t="shared" si="44"/>
        <v>0</v>
      </c>
      <c r="EI30" s="22">
        <f>$G30*EG30</f>
        <v>0</v>
      </c>
      <c r="EJ30" s="22"/>
      <c r="EK30" s="22">
        <f t="shared" si="45"/>
        <v>0</v>
      </c>
      <c r="EL30" s="22">
        <f>$G30*EJ30</f>
        <v>0</v>
      </c>
      <c r="EM30" s="22"/>
      <c r="EN30" s="22">
        <f t="shared" si="46"/>
        <v>0</v>
      </c>
      <c r="EO30" s="22">
        <f>$G30*EM30</f>
        <v>0</v>
      </c>
    </row>
    <row r="31" spans="1:145">
      <c r="A31" s="15">
        <v>26</v>
      </c>
      <c r="B31" s="15" t="s">
        <v>400</v>
      </c>
      <c r="C31" s="16" t="s">
        <v>401</v>
      </c>
      <c r="D31" s="15" t="s">
        <v>402</v>
      </c>
      <c r="E31" s="18" t="s">
        <v>399</v>
      </c>
      <c r="F31" s="19">
        <f t="shared" si="0"/>
        <v>27</v>
      </c>
      <c r="G31" s="20"/>
      <c r="H31" s="21"/>
      <c r="I31" s="22">
        <f t="shared" si="1"/>
        <v>0</v>
      </c>
      <c r="J31" s="22">
        <f t="shared" ref="J31:J36" si="185">$G31*H31</f>
        <v>0</v>
      </c>
      <c r="K31" s="22"/>
      <c r="L31" s="22">
        <f t="shared" si="2"/>
        <v>0</v>
      </c>
      <c r="M31" s="22">
        <f t="shared" ref="M31:M36" si="186">$G31*K31</f>
        <v>0</v>
      </c>
      <c r="N31" s="22"/>
      <c r="O31" s="22">
        <f t="shared" si="3"/>
        <v>0</v>
      </c>
      <c r="P31" s="22">
        <f t="shared" ref="P31:P36" si="187">$G31*N31</f>
        <v>0</v>
      </c>
      <c r="Q31" s="22"/>
      <c r="R31" s="22">
        <f t="shared" si="4"/>
        <v>0</v>
      </c>
      <c r="S31" s="22">
        <f t="shared" ref="S31:S36" si="188">$G31*Q31</f>
        <v>0</v>
      </c>
      <c r="T31" s="22"/>
      <c r="U31" s="22">
        <f t="shared" si="5"/>
        <v>0</v>
      </c>
      <c r="V31" s="22">
        <f t="shared" ref="V31:V36" si="189">$G31*T31</f>
        <v>0</v>
      </c>
      <c r="W31" s="22"/>
      <c r="X31" s="22">
        <f t="shared" si="6"/>
        <v>0</v>
      </c>
      <c r="Y31" s="22">
        <f t="shared" ref="Y31:Y36" si="190">$G31*W31</f>
        <v>0</v>
      </c>
      <c r="Z31" s="22">
        <v>3</v>
      </c>
      <c r="AA31" s="22">
        <f t="shared" si="7"/>
        <v>3</v>
      </c>
      <c r="AB31" s="22">
        <f t="shared" ref="AB31:AB36" si="191">$G31*Z31</f>
        <v>0</v>
      </c>
      <c r="AC31" s="22"/>
      <c r="AD31" s="22">
        <f t="shared" si="8"/>
        <v>0</v>
      </c>
      <c r="AE31" s="22">
        <f t="shared" ref="AE31:AE36" si="192">$G31*AC31</f>
        <v>0</v>
      </c>
      <c r="AF31" s="22"/>
      <c r="AG31" s="22">
        <f t="shared" si="9"/>
        <v>0</v>
      </c>
      <c r="AH31" s="22">
        <f t="shared" ref="AH31:AH36" si="193">$G31*AF31</f>
        <v>0</v>
      </c>
      <c r="AI31" s="22"/>
      <c r="AJ31" s="22">
        <f t="shared" si="10"/>
        <v>0</v>
      </c>
      <c r="AK31" s="22">
        <f t="shared" ref="AK31:AK36" si="194">$G31*AI31</f>
        <v>0</v>
      </c>
      <c r="AL31" s="22"/>
      <c r="AM31" s="22">
        <f t="shared" si="11"/>
        <v>0</v>
      </c>
      <c r="AN31" s="22">
        <f t="shared" ref="AN31:AN36" si="195">$G31*AL31</f>
        <v>0</v>
      </c>
      <c r="AO31" s="22">
        <v>3</v>
      </c>
      <c r="AP31" s="22">
        <f t="shared" si="12"/>
        <v>0</v>
      </c>
      <c r="AQ31" s="22">
        <f t="shared" ref="AQ31:AQ36" si="196">$G31*AO31</f>
        <v>0</v>
      </c>
      <c r="AR31" s="22"/>
      <c r="AS31" s="22">
        <f t="shared" si="13"/>
        <v>0</v>
      </c>
      <c r="AT31" s="22">
        <f t="shared" ref="AT31:AT36" si="197">$G31*AR31</f>
        <v>0</v>
      </c>
      <c r="AU31" s="22"/>
      <c r="AV31" s="22">
        <f t="shared" si="14"/>
        <v>0</v>
      </c>
      <c r="AW31" s="22">
        <f t="shared" ref="AW31:AW36" si="198">$G31*AU31</f>
        <v>0</v>
      </c>
      <c r="AX31" s="22"/>
      <c r="AY31" s="22">
        <f t="shared" si="15"/>
        <v>0</v>
      </c>
      <c r="AZ31" s="22">
        <f t="shared" ref="AZ31:AZ36" si="199">$G31*AX31</f>
        <v>0</v>
      </c>
      <c r="BA31" s="22"/>
      <c r="BB31" s="22">
        <f t="shared" si="16"/>
        <v>0</v>
      </c>
      <c r="BC31" s="22">
        <f t="shared" ref="BC31:BC36" si="200">$G31*BA31</f>
        <v>0</v>
      </c>
      <c r="BD31" s="22"/>
      <c r="BE31" s="22">
        <f t="shared" si="17"/>
        <v>0</v>
      </c>
      <c r="BF31" s="22">
        <f t="shared" ref="BF31:BF36" si="201">$G31*BD31</f>
        <v>0</v>
      </c>
      <c r="BG31" s="22"/>
      <c r="BH31" s="22">
        <f t="shared" si="18"/>
        <v>0</v>
      </c>
      <c r="BI31" s="22">
        <f t="shared" ref="BI31:BI36" si="202">$G31*BG31</f>
        <v>0</v>
      </c>
      <c r="BJ31" s="22"/>
      <c r="BK31" s="22">
        <f t="shared" si="19"/>
        <v>0</v>
      </c>
      <c r="BL31" s="22">
        <f t="shared" ref="BL31:BL36" si="203">$G31*BJ31</f>
        <v>0</v>
      </c>
      <c r="BM31" s="22"/>
      <c r="BN31" s="22">
        <f t="shared" si="20"/>
        <v>0</v>
      </c>
      <c r="BO31" s="22">
        <f t="shared" ref="BO31:BO36" si="204">$G31*BM31</f>
        <v>0</v>
      </c>
      <c r="BP31" s="22">
        <v>3</v>
      </c>
      <c r="BQ31" s="22">
        <f t="shared" si="21"/>
        <v>0</v>
      </c>
      <c r="BR31" s="22">
        <f t="shared" ref="BR31:BR36" si="205">$G31*BP31</f>
        <v>0</v>
      </c>
      <c r="BS31" s="22"/>
      <c r="BT31" s="22">
        <f t="shared" si="22"/>
        <v>0</v>
      </c>
      <c r="BU31" s="22">
        <f t="shared" ref="BU31:BU36" si="206">$G31*BS31</f>
        <v>0</v>
      </c>
      <c r="BV31" s="22">
        <v>3</v>
      </c>
      <c r="BW31" s="22">
        <f t="shared" si="23"/>
        <v>6</v>
      </c>
      <c r="BX31" s="22">
        <f t="shared" ref="BX31:BX36" si="207">$G31*BV31</f>
        <v>0</v>
      </c>
      <c r="BY31" s="22">
        <v>3</v>
      </c>
      <c r="BZ31" s="22">
        <f t="shared" si="24"/>
        <v>0</v>
      </c>
      <c r="CA31" s="22">
        <f t="shared" ref="CA31:CA36" si="208">$G31*BY31</f>
        <v>0</v>
      </c>
      <c r="CB31" s="22">
        <v>3</v>
      </c>
      <c r="CC31" s="22">
        <f t="shared" si="25"/>
        <v>0</v>
      </c>
      <c r="CD31" s="22">
        <f t="shared" ref="CD31:CD36" si="209">$G31*CB31</f>
        <v>0</v>
      </c>
      <c r="CE31" s="22">
        <v>3</v>
      </c>
      <c r="CF31" s="22">
        <f t="shared" si="26"/>
        <v>0</v>
      </c>
      <c r="CG31" s="22">
        <f t="shared" ref="CG31:CG36" si="210">$G31*CE31</f>
        <v>0</v>
      </c>
      <c r="CH31" s="22">
        <v>3</v>
      </c>
      <c r="CI31" s="22">
        <f t="shared" si="27"/>
        <v>0</v>
      </c>
      <c r="CJ31" s="22">
        <f t="shared" ref="CJ31:CJ36" si="211">$G31*CH31</f>
        <v>0</v>
      </c>
      <c r="CK31" s="22">
        <v>3</v>
      </c>
      <c r="CL31" s="22">
        <f t="shared" si="28"/>
        <v>0</v>
      </c>
      <c r="CM31" s="22">
        <f t="shared" ref="CM31:CM36" si="212">$G31*CK31</f>
        <v>0</v>
      </c>
      <c r="CN31" s="22">
        <v>3</v>
      </c>
      <c r="CO31" s="22">
        <f t="shared" si="29"/>
        <v>0</v>
      </c>
      <c r="CP31" s="22">
        <f t="shared" ref="CP31:CP36" si="213">$G31*CN31</f>
        <v>0</v>
      </c>
      <c r="CQ31" s="22">
        <v>3</v>
      </c>
      <c r="CR31" s="22">
        <f t="shared" si="30"/>
        <v>0</v>
      </c>
      <c r="CS31" s="22">
        <f t="shared" ref="CS31:CS36" si="214">$G31*CQ31</f>
        <v>0</v>
      </c>
      <c r="CT31" s="22"/>
      <c r="CU31" s="22">
        <f t="shared" si="31"/>
        <v>0</v>
      </c>
      <c r="CV31" s="22">
        <f t="shared" ref="CV31:CV36" si="215">$G31*CT31</f>
        <v>0</v>
      </c>
      <c r="CW31" s="22"/>
      <c r="CX31" s="22">
        <f t="shared" si="32"/>
        <v>0</v>
      </c>
      <c r="CY31" s="22">
        <f t="shared" ref="CY31:CY36" si="216">$G31*CW31</f>
        <v>0</v>
      </c>
      <c r="CZ31" s="22">
        <v>3</v>
      </c>
      <c r="DA31" s="22">
        <f t="shared" si="33"/>
        <v>0</v>
      </c>
      <c r="DB31" s="22">
        <f t="shared" ref="DB31:DB36" si="217">$G31*CZ31</f>
        <v>0</v>
      </c>
      <c r="DC31" s="22">
        <v>3</v>
      </c>
      <c r="DD31" s="22">
        <f t="shared" si="34"/>
        <v>0</v>
      </c>
      <c r="DE31" s="22">
        <f t="shared" ref="DE31:DE36" si="218">$G31*DC31</f>
        <v>0</v>
      </c>
      <c r="DF31" s="22">
        <v>6</v>
      </c>
      <c r="DG31" s="22">
        <f t="shared" si="35"/>
        <v>6</v>
      </c>
      <c r="DH31" s="22">
        <f t="shared" ref="DH31:DH36" si="219">$G31*DF31</f>
        <v>0</v>
      </c>
      <c r="DI31" s="22"/>
      <c r="DJ31" s="22">
        <f t="shared" si="36"/>
        <v>0</v>
      </c>
      <c r="DK31" s="22">
        <f t="shared" ref="DK31:DK36" si="220">$G31*DI31</f>
        <v>0</v>
      </c>
      <c r="DL31" s="22">
        <v>3</v>
      </c>
      <c r="DM31" s="22">
        <f t="shared" si="37"/>
        <v>0</v>
      </c>
      <c r="DN31" s="22">
        <f t="shared" ref="DN31:DN36" si="221">$G31*DL31</f>
        <v>0</v>
      </c>
      <c r="DO31" s="22">
        <v>3</v>
      </c>
      <c r="DP31" s="22">
        <f t="shared" si="38"/>
        <v>0</v>
      </c>
      <c r="DQ31" s="22">
        <f t="shared" ref="DQ31:DQ36" si="222">$G31*DO31</f>
        <v>0</v>
      </c>
      <c r="DR31" s="22">
        <v>3</v>
      </c>
      <c r="DS31" s="22">
        <f t="shared" si="39"/>
        <v>0</v>
      </c>
      <c r="DT31" s="22">
        <f t="shared" ref="DT31:DT36" si="223">$G31*DR31</f>
        <v>0</v>
      </c>
      <c r="DU31" s="22"/>
      <c r="DV31" s="22">
        <f t="shared" si="40"/>
        <v>0</v>
      </c>
      <c r="DW31" s="22">
        <f t="shared" ref="DW31:DW36" si="224">$G31*DU31</f>
        <v>0</v>
      </c>
      <c r="DX31" s="22">
        <v>6</v>
      </c>
      <c r="DY31" s="22">
        <f t="shared" si="41"/>
        <v>6</v>
      </c>
      <c r="DZ31" s="22">
        <f t="shared" ref="DZ31:DZ36" si="225">$G31*DX31</f>
        <v>0</v>
      </c>
      <c r="EA31" s="22"/>
      <c r="EB31" s="22">
        <f t="shared" si="42"/>
        <v>0</v>
      </c>
      <c r="EC31" s="22">
        <f t="shared" ref="EC31:EC36" si="226">$G31*EA31</f>
        <v>0</v>
      </c>
      <c r="ED31" s="22">
        <v>3</v>
      </c>
      <c r="EE31" s="22">
        <f t="shared" si="43"/>
        <v>6</v>
      </c>
      <c r="EF31" s="22">
        <f t="shared" ref="EF31:EF36" si="227">$G31*ED31</f>
        <v>0</v>
      </c>
      <c r="EG31" s="22">
        <v>3</v>
      </c>
      <c r="EH31" s="22">
        <f t="shared" si="44"/>
        <v>0</v>
      </c>
      <c r="EI31" s="22">
        <f t="shared" ref="EI31:EI36" si="228">$G31*EG31</f>
        <v>0</v>
      </c>
      <c r="EJ31" s="22"/>
      <c r="EK31" s="22">
        <f t="shared" si="45"/>
        <v>0</v>
      </c>
      <c r="EL31" s="22">
        <f t="shared" ref="EL31:EL36" si="229">$G31*EJ31</f>
        <v>0</v>
      </c>
      <c r="EM31" s="22"/>
      <c r="EN31" s="22">
        <f t="shared" si="46"/>
        <v>0</v>
      </c>
      <c r="EO31" s="22">
        <f t="shared" ref="EO31:EO36" si="230">$G31*EM31</f>
        <v>0</v>
      </c>
    </row>
    <row r="32" spans="1:145">
      <c r="A32" s="15">
        <v>27</v>
      </c>
      <c r="B32" s="15" t="s">
        <v>403</v>
      </c>
      <c r="C32" s="16" t="s">
        <v>374</v>
      </c>
      <c r="D32" s="15" t="s">
        <v>404</v>
      </c>
      <c r="E32" s="15" t="s">
        <v>376</v>
      </c>
      <c r="F32" s="19">
        <f t="shared" si="0"/>
        <v>15</v>
      </c>
      <c r="G32" s="20"/>
      <c r="H32" s="21"/>
      <c r="I32" s="22">
        <f t="shared" si="1"/>
        <v>0</v>
      </c>
      <c r="J32" s="22">
        <f t="shared" si="185"/>
        <v>0</v>
      </c>
      <c r="K32" s="22"/>
      <c r="L32" s="22">
        <f t="shared" si="2"/>
        <v>0</v>
      </c>
      <c r="M32" s="22">
        <f t="shared" si="186"/>
        <v>0</v>
      </c>
      <c r="N32" s="22"/>
      <c r="O32" s="22">
        <f t="shared" si="3"/>
        <v>0</v>
      </c>
      <c r="P32" s="22">
        <f t="shared" si="187"/>
        <v>0</v>
      </c>
      <c r="Q32" s="22"/>
      <c r="R32" s="22">
        <f t="shared" si="4"/>
        <v>0</v>
      </c>
      <c r="S32" s="22">
        <f t="shared" si="188"/>
        <v>0</v>
      </c>
      <c r="T32" s="22"/>
      <c r="U32" s="22">
        <f t="shared" si="5"/>
        <v>0</v>
      </c>
      <c r="V32" s="22">
        <f t="shared" si="189"/>
        <v>0</v>
      </c>
      <c r="W32" s="22"/>
      <c r="X32" s="22">
        <f t="shared" si="6"/>
        <v>0</v>
      </c>
      <c r="Y32" s="22">
        <f t="shared" si="190"/>
        <v>0</v>
      </c>
      <c r="Z32" s="22">
        <v>1</v>
      </c>
      <c r="AA32" s="22">
        <f t="shared" si="7"/>
        <v>1</v>
      </c>
      <c r="AB32" s="22">
        <f t="shared" si="191"/>
        <v>0</v>
      </c>
      <c r="AC32" s="22"/>
      <c r="AD32" s="22">
        <f t="shared" si="8"/>
        <v>0</v>
      </c>
      <c r="AE32" s="22">
        <f t="shared" si="192"/>
        <v>0</v>
      </c>
      <c r="AF32" s="22"/>
      <c r="AG32" s="22">
        <f t="shared" si="9"/>
        <v>0</v>
      </c>
      <c r="AH32" s="22">
        <f t="shared" si="193"/>
        <v>0</v>
      </c>
      <c r="AI32" s="22"/>
      <c r="AJ32" s="22">
        <f t="shared" si="10"/>
        <v>0</v>
      </c>
      <c r="AK32" s="22">
        <f t="shared" si="194"/>
        <v>0</v>
      </c>
      <c r="AL32" s="22"/>
      <c r="AM32" s="22">
        <f t="shared" si="11"/>
        <v>0</v>
      </c>
      <c r="AN32" s="22">
        <f t="shared" si="195"/>
        <v>0</v>
      </c>
      <c r="AO32" s="22"/>
      <c r="AP32" s="22">
        <f t="shared" si="12"/>
        <v>0</v>
      </c>
      <c r="AQ32" s="22">
        <f t="shared" si="196"/>
        <v>0</v>
      </c>
      <c r="AR32" s="22"/>
      <c r="AS32" s="22">
        <f t="shared" si="13"/>
        <v>0</v>
      </c>
      <c r="AT32" s="22">
        <f t="shared" si="197"/>
        <v>0</v>
      </c>
      <c r="AU32" s="22"/>
      <c r="AV32" s="22">
        <f t="shared" si="14"/>
        <v>0</v>
      </c>
      <c r="AW32" s="22">
        <f t="shared" si="198"/>
        <v>0</v>
      </c>
      <c r="AX32" s="22">
        <v>2</v>
      </c>
      <c r="AY32" s="22">
        <f t="shared" si="15"/>
        <v>6</v>
      </c>
      <c r="AZ32" s="22">
        <f t="shared" si="199"/>
        <v>0</v>
      </c>
      <c r="BA32" s="22"/>
      <c r="BB32" s="22">
        <f t="shared" si="16"/>
        <v>0</v>
      </c>
      <c r="BC32" s="22">
        <f t="shared" si="200"/>
        <v>0</v>
      </c>
      <c r="BD32" s="22"/>
      <c r="BE32" s="22">
        <f t="shared" si="17"/>
        <v>0</v>
      </c>
      <c r="BF32" s="22">
        <f t="shared" si="201"/>
        <v>0</v>
      </c>
      <c r="BG32" s="22"/>
      <c r="BH32" s="22">
        <f t="shared" si="18"/>
        <v>0</v>
      </c>
      <c r="BI32" s="22">
        <f t="shared" si="202"/>
        <v>0</v>
      </c>
      <c r="BJ32" s="22"/>
      <c r="BK32" s="22">
        <f t="shared" si="19"/>
        <v>0</v>
      </c>
      <c r="BL32" s="22">
        <f t="shared" si="203"/>
        <v>0</v>
      </c>
      <c r="BM32" s="22"/>
      <c r="BN32" s="22">
        <f t="shared" si="20"/>
        <v>0</v>
      </c>
      <c r="BO32" s="22">
        <f t="shared" si="204"/>
        <v>0</v>
      </c>
      <c r="BP32" s="22"/>
      <c r="BQ32" s="22">
        <f t="shared" si="21"/>
        <v>0</v>
      </c>
      <c r="BR32" s="22">
        <f t="shared" si="205"/>
        <v>0</v>
      </c>
      <c r="BS32" s="22">
        <v>1</v>
      </c>
      <c r="BT32" s="22">
        <f t="shared" si="22"/>
        <v>0</v>
      </c>
      <c r="BU32" s="22">
        <f t="shared" si="206"/>
        <v>0</v>
      </c>
      <c r="BV32" s="22"/>
      <c r="BW32" s="22">
        <f t="shared" si="23"/>
        <v>0</v>
      </c>
      <c r="BX32" s="22">
        <f t="shared" si="207"/>
        <v>0</v>
      </c>
      <c r="BY32" s="22"/>
      <c r="BZ32" s="22">
        <f t="shared" si="24"/>
        <v>0</v>
      </c>
      <c r="CA32" s="22">
        <f t="shared" si="208"/>
        <v>0</v>
      </c>
      <c r="CB32" s="22"/>
      <c r="CC32" s="22">
        <f t="shared" si="25"/>
        <v>0</v>
      </c>
      <c r="CD32" s="22">
        <f t="shared" si="209"/>
        <v>0</v>
      </c>
      <c r="CE32" s="22"/>
      <c r="CF32" s="22">
        <f t="shared" si="26"/>
        <v>0</v>
      </c>
      <c r="CG32" s="22">
        <f t="shared" si="210"/>
        <v>0</v>
      </c>
      <c r="CH32" s="22"/>
      <c r="CI32" s="22">
        <f t="shared" si="27"/>
        <v>0</v>
      </c>
      <c r="CJ32" s="22">
        <f t="shared" si="211"/>
        <v>0</v>
      </c>
      <c r="CK32" s="22"/>
      <c r="CL32" s="22">
        <f t="shared" si="28"/>
        <v>0</v>
      </c>
      <c r="CM32" s="22">
        <f t="shared" si="212"/>
        <v>0</v>
      </c>
      <c r="CN32" s="22"/>
      <c r="CO32" s="22">
        <f t="shared" si="29"/>
        <v>0</v>
      </c>
      <c r="CP32" s="22">
        <f t="shared" si="213"/>
        <v>0</v>
      </c>
      <c r="CQ32" s="22"/>
      <c r="CR32" s="22">
        <f t="shared" si="30"/>
        <v>0</v>
      </c>
      <c r="CS32" s="22">
        <f t="shared" si="214"/>
        <v>0</v>
      </c>
      <c r="CT32" s="22"/>
      <c r="CU32" s="22">
        <f t="shared" si="31"/>
        <v>0</v>
      </c>
      <c r="CV32" s="22">
        <f t="shared" si="215"/>
        <v>0</v>
      </c>
      <c r="CW32" s="22"/>
      <c r="CX32" s="22">
        <f t="shared" si="32"/>
        <v>0</v>
      </c>
      <c r="CY32" s="22">
        <f t="shared" si="216"/>
        <v>0</v>
      </c>
      <c r="CZ32" s="22"/>
      <c r="DA32" s="22">
        <f t="shared" si="33"/>
        <v>0</v>
      </c>
      <c r="DB32" s="22">
        <f t="shared" si="217"/>
        <v>0</v>
      </c>
      <c r="DC32" s="22"/>
      <c r="DD32" s="22">
        <f t="shared" si="34"/>
        <v>0</v>
      </c>
      <c r="DE32" s="22">
        <f t="shared" si="218"/>
        <v>0</v>
      </c>
      <c r="DF32" s="22"/>
      <c r="DG32" s="22">
        <f t="shared" si="35"/>
        <v>0</v>
      </c>
      <c r="DH32" s="22">
        <f t="shared" si="219"/>
        <v>0</v>
      </c>
      <c r="DI32" s="22"/>
      <c r="DJ32" s="22">
        <f t="shared" si="36"/>
        <v>0</v>
      </c>
      <c r="DK32" s="22">
        <f t="shared" si="220"/>
        <v>0</v>
      </c>
      <c r="DL32" s="22"/>
      <c r="DM32" s="22">
        <f t="shared" si="37"/>
        <v>0</v>
      </c>
      <c r="DN32" s="22">
        <f t="shared" si="221"/>
        <v>0</v>
      </c>
      <c r="DO32" s="22"/>
      <c r="DP32" s="22">
        <f t="shared" si="38"/>
        <v>0</v>
      </c>
      <c r="DQ32" s="22">
        <f t="shared" si="222"/>
        <v>0</v>
      </c>
      <c r="DR32" s="22">
        <v>1</v>
      </c>
      <c r="DS32" s="22">
        <f t="shared" si="39"/>
        <v>0</v>
      </c>
      <c r="DT32" s="22">
        <f t="shared" si="223"/>
        <v>0</v>
      </c>
      <c r="DU32" s="22"/>
      <c r="DV32" s="22">
        <f t="shared" si="40"/>
        <v>0</v>
      </c>
      <c r="DW32" s="22">
        <f t="shared" si="224"/>
        <v>0</v>
      </c>
      <c r="DX32" s="22"/>
      <c r="DY32" s="22">
        <f t="shared" si="41"/>
        <v>0</v>
      </c>
      <c r="DZ32" s="22">
        <f t="shared" si="225"/>
        <v>0</v>
      </c>
      <c r="EA32" s="22">
        <v>2</v>
      </c>
      <c r="EB32" s="22">
        <f t="shared" si="42"/>
        <v>6</v>
      </c>
      <c r="EC32" s="22">
        <f t="shared" si="226"/>
        <v>0</v>
      </c>
      <c r="ED32" s="22">
        <v>1</v>
      </c>
      <c r="EE32" s="22">
        <f t="shared" si="43"/>
        <v>2</v>
      </c>
      <c r="EF32" s="22">
        <f t="shared" si="227"/>
        <v>0</v>
      </c>
      <c r="EG32" s="22"/>
      <c r="EH32" s="22">
        <f t="shared" si="44"/>
        <v>0</v>
      </c>
      <c r="EI32" s="22">
        <f t="shared" si="228"/>
        <v>0</v>
      </c>
      <c r="EJ32" s="22"/>
      <c r="EK32" s="22">
        <f t="shared" si="45"/>
        <v>0</v>
      </c>
      <c r="EL32" s="22">
        <f t="shared" si="229"/>
        <v>0</v>
      </c>
      <c r="EM32" s="22"/>
      <c r="EN32" s="22">
        <f t="shared" si="46"/>
        <v>0</v>
      </c>
      <c r="EO32" s="22">
        <f t="shared" si="230"/>
        <v>0</v>
      </c>
    </row>
    <row r="33" spans="1:145">
      <c r="A33" s="15">
        <v>28</v>
      </c>
      <c r="B33" s="15" t="s">
        <v>405</v>
      </c>
      <c r="C33" s="16" t="s">
        <v>378</v>
      </c>
      <c r="D33" s="16" t="s">
        <v>406</v>
      </c>
      <c r="E33" s="18" t="s">
        <v>399</v>
      </c>
      <c r="F33" s="19">
        <f t="shared" si="0"/>
        <v>6</v>
      </c>
      <c r="G33" s="20"/>
      <c r="H33" s="21"/>
      <c r="I33" s="22">
        <f t="shared" si="1"/>
        <v>0</v>
      </c>
      <c r="J33" s="22">
        <f t="shared" si="185"/>
        <v>0</v>
      </c>
      <c r="K33" s="22"/>
      <c r="L33" s="22">
        <f t="shared" si="2"/>
        <v>0</v>
      </c>
      <c r="M33" s="22">
        <f t="shared" si="186"/>
        <v>0</v>
      </c>
      <c r="N33" s="22"/>
      <c r="O33" s="22">
        <f t="shared" si="3"/>
        <v>0</v>
      </c>
      <c r="P33" s="22">
        <f t="shared" si="187"/>
        <v>0</v>
      </c>
      <c r="Q33" s="22"/>
      <c r="R33" s="22">
        <f t="shared" si="4"/>
        <v>0</v>
      </c>
      <c r="S33" s="22">
        <f t="shared" si="188"/>
        <v>0</v>
      </c>
      <c r="T33" s="22"/>
      <c r="U33" s="22">
        <f t="shared" si="5"/>
        <v>0</v>
      </c>
      <c r="V33" s="22">
        <f t="shared" si="189"/>
        <v>0</v>
      </c>
      <c r="W33" s="22"/>
      <c r="X33" s="22">
        <f t="shared" si="6"/>
        <v>0</v>
      </c>
      <c r="Y33" s="22">
        <f t="shared" si="190"/>
        <v>0</v>
      </c>
      <c r="Z33" s="22">
        <v>1</v>
      </c>
      <c r="AA33" s="22">
        <f t="shared" si="7"/>
        <v>1</v>
      </c>
      <c r="AB33" s="22">
        <f t="shared" si="191"/>
        <v>0</v>
      </c>
      <c r="AC33" s="22"/>
      <c r="AD33" s="22">
        <f t="shared" si="8"/>
        <v>0</v>
      </c>
      <c r="AE33" s="22">
        <f t="shared" si="192"/>
        <v>0</v>
      </c>
      <c r="AF33" s="22"/>
      <c r="AG33" s="22">
        <f t="shared" si="9"/>
        <v>0</v>
      </c>
      <c r="AH33" s="22">
        <f t="shared" si="193"/>
        <v>0</v>
      </c>
      <c r="AI33" s="22"/>
      <c r="AJ33" s="22">
        <f t="shared" si="10"/>
        <v>0</v>
      </c>
      <c r="AK33" s="22">
        <f t="shared" si="194"/>
        <v>0</v>
      </c>
      <c r="AL33" s="22"/>
      <c r="AM33" s="22">
        <f t="shared" si="11"/>
        <v>0</v>
      </c>
      <c r="AN33" s="22">
        <f t="shared" si="195"/>
        <v>0</v>
      </c>
      <c r="AO33" s="22"/>
      <c r="AP33" s="22">
        <f t="shared" si="12"/>
        <v>0</v>
      </c>
      <c r="AQ33" s="22">
        <f t="shared" si="196"/>
        <v>0</v>
      </c>
      <c r="AR33" s="22">
        <v>1</v>
      </c>
      <c r="AS33" s="22">
        <f t="shared" si="13"/>
        <v>0</v>
      </c>
      <c r="AT33" s="22">
        <f t="shared" si="197"/>
        <v>0</v>
      </c>
      <c r="AU33" s="22">
        <v>1</v>
      </c>
      <c r="AV33" s="22">
        <f t="shared" si="14"/>
        <v>0</v>
      </c>
      <c r="AW33" s="22">
        <f t="shared" si="198"/>
        <v>0</v>
      </c>
      <c r="AX33" s="22"/>
      <c r="AY33" s="22">
        <f t="shared" si="15"/>
        <v>0</v>
      </c>
      <c r="AZ33" s="22">
        <f t="shared" si="199"/>
        <v>0</v>
      </c>
      <c r="BA33" s="22">
        <v>1</v>
      </c>
      <c r="BB33" s="22">
        <f t="shared" si="16"/>
        <v>1</v>
      </c>
      <c r="BC33" s="22">
        <f t="shared" si="200"/>
        <v>0</v>
      </c>
      <c r="BD33" s="22">
        <v>2</v>
      </c>
      <c r="BE33" s="22">
        <f t="shared" si="17"/>
        <v>0</v>
      </c>
      <c r="BF33" s="22">
        <f t="shared" si="201"/>
        <v>0</v>
      </c>
      <c r="BG33" s="22"/>
      <c r="BH33" s="22">
        <f t="shared" si="18"/>
        <v>0</v>
      </c>
      <c r="BI33" s="22">
        <f t="shared" si="202"/>
        <v>0</v>
      </c>
      <c r="BJ33" s="22"/>
      <c r="BK33" s="22">
        <f t="shared" si="19"/>
        <v>0</v>
      </c>
      <c r="BL33" s="22">
        <f t="shared" si="203"/>
        <v>0</v>
      </c>
      <c r="BM33" s="22"/>
      <c r="BN33" s="22">
        <f t="shared" si="20"/>
        <v>0</v>
      </c>
      <c r="BO33" s="22">
        <f t="shared" si="204"/>
        <v>0</v>
      </c>
      <c r="BP33" s="22">
        <v>1</v>
      </c>
      <c r="BQ33" s="22">
        <f t="shared" si="21"/>
        <v>0</v>
      </c>
      <c r="BR33" s="22">
        <f t="shared" si="205"/>
        <v>0</v>
      </c>
      <c r="BS33" s="22">
        <v>1</v>
      </c>
      <c r="BT33" s="22">
        <f t="shared" si="22"/>
        <v>0</v>
      </c>
      <c r="BU33" s="22">
        <f t="shared" si="206"/>
        <v>0</v>
      </c>
      <c r="BV33" s="22"/>
      <c r="BW33" s="22">
        <f t="shared" si="23"/>
        <v>0</v>
      </c>
      <c r="BX33" s="22">
        <f t="shared" si="207"/>
        <v>0</v>
      </c>
      <c r="BY33" s="22"/>
      <c r="BZ33" s="22">
        <f t="shared" si="24"/>
        <v>0</v>
      </c>
      <c r="CA33" s="22">
        <f t="shared" si="208"/>
        <v>0</v>
      </c>
      <c r="CB33" s="22">
        <v>1</v>
      </c>
      <c r="CC33" s="22">
        <f t="shared" si="25"/>
        <v>0</v>
      </c>
      <c r="CD33" s="22">
        <f t="shared" si="209"/>
        <v>0</v>
      </c>
      <c r="CE33" s="22"/>
      <c r="CF33" s="22">
        <f t="shared" si="26"/>
        <v>0</v>
      </c>
      <c r="CG33" s="22">
        <f t="shared" si="210"/>
        <v>0</v>
      </c>
      <c r="CH33" s="22">
        <v>1</v>
      </c>
      <c r="CI33" s="22">
        <f t="shared" si="27"/>
        <v>0</v>
      </c>
      <c r="CJ33" s="22">
        <f t="shared" si="211"/>
        <v>0</v>
      </c>
      <c r="CK33" s="22"/>
      <c r="CL33" s="22">
        <f t="shared" si="28"/>
        <v>0</v>
      </c>
      <c r="CM33" s="22">
        <f t="shared" si="212"/>
        <v>0</v>
      </c>
      <c r="CN33" s="22">
        <v>1</v>
      </c>
      <c r="CO33" s="22">
        <f t="shared" si="29"/>
        <v>0</v>
      </c>
      <c r="CP33" s="22">
        <f t="shared" si="213"/>
        <v>0</v>
      </c>
      <c r="CQ33" s="22">
        <v>1</v>
      </c>
      <c r="CR33" s="22">
        <f t="shared" si="30"/>
        <v>0</v>
      </c>
      <c r="CS33" s="22">
        <f t="shared" si="214"/>
        <v>0</v>
      </c>
      <c r="CT33" s="22">
        <v>1</v>
      </c>
      <c r="CU33" s="22">
        <f t="shared" si="31"/>
        <v>0</v>
      </c>
      <c r="CV33" s="22">
        <f t="shared" si="215"/>
        <v>0</v>
      </c>
      <c r="CW33" s="22"/>
      <c r="CX33" s="22">
        <f t="shared" si="32"/>
        <v>0</v>
      </c>
      <c r="CY33" s="22">
        <f t="shared" si="216"/>
        <v>0</v>
      </c>
      <c r="CZ33" s="22">
        <v>1</v>
      </c>
      <c r="DA33" s="22">
        <f t="shared" si="33"/>
        <v>0</v>
      </c>
      <c r="DB33" s="22">
        <f t="shared" si="217"/>
        <v>0</v>
      </c>
      <c r="DC33" s="22"/>
      <c r="DD33" s="22">
        <f t="shared" si="34"/>
        <v>0</v>
      </c>
      <c r="DE33" s="22">
        <f t="shared" si="218"/>
        <v>0</v>
      </c>
      <c r="DF33" s="22">
        <v>2</v>
      </c>
      <c r="DG33" s="22">
        <f t="shared" si="35"/>
        <v>2</v>
      </c>
      <c r="DH33" s="22">
        <f t="shared" si="219"/>
        <v>0</v>
      </c>
      <c r="DI33" s="22"/>
      <c r="DJ33" s="22">
        <f t="shared" si="36"/>
        <v>0</v>
      </c>
      <c r="DK33" s="22">
        <f t="shared" si="220"/>
        <v>0</v>
      </c>
      <c r="DL33" s="22">
        <v>1</v>
      </c>
      <c r="DM33" s="22">
        <f t="shared" si="37"/>
        <v>0</v>
      </c>
      <c r="DN33" s="22">
        <f t="shared" si="221"/>
        <v>0</v>
      </c>
      <c r="DO33" s="22">
        <v>1</v>
      </c>
      <c r="DP33" s="22">
        <f t="shared" si="38"/>
        <v>0</v>
      </c>
      <c r="DQ33" s="22">
        <f t="shared" si="222"/>
        <v>0</v>
      </c>
      <c r="DR33" s="22">
        <v>1</v>
      </c>
      <c r="DS33" s="22">
        <f t="shared" si="39"/>
        <v>0</v>
      </c>
      <c r="DT33" s="22">
        <f t="shared" si="223"/>
        <v>0</v>
      </c>
      <c r="DU33" s="22"/>
      <c r="DV33" s="22">
        <f t="shared" si="40"/>
        <v>0</v>
      </c>
      <c r="DW33" s="22">
        <f t="shared" si="224"/>
        <v>0</v>
      </c>
      <c r="DX33" s="22"/>
      <c r="DY33" s="22">
        <f t="shared" si="41"/>
        <v>0</v>
      </c>
      <c r="DZ33" s="22">
        <f t="shared" si="225"/>
        <v>0</v>
      </c>
      <c r="EA33" s="22"/>
      <c r="EB33" s="22">
        <f t="shared" si="42"/>
        <v>0</v>
      </c>
      <c r="EC33" s="22">
        <f t="shared" si="226"/>
        <v>0</v>
      </c>
      <c r="ED33" s="22">
        <v>1</v>
      </c>
      <c r="EE33" s="22">
        <f t="shared" si="43"/>
        <v>2</v>
      </c>
      <c r="EF33" s="22">
        <f t="shared" si="227"/>
        <v>0</v>
      </c>
      <c r="EG33" s="22">
        <v>1</v>
      </c>
      <c r="EH33" s="22">
        <f t="shared" si="44"/>
        <v>0</v>
      </c>
      <c r="EI33" s="22">
        <f t="shared" si="228"/>
        <v>0</v>
      </c>
      <c r="EJ33" s="22"/>
      <c r="EK33" s="22">
        <f t="shared" si="45"/>
        <v>0</v>
      </c>
      <c r="EL33" s="22">
        <f t="shared" si="229"/>
        <v>0</v>
      </c>
      <c r="EM33" s="22"/>
      <c r="EN33" s="22">
        <f t="shared" si="46"/>
        <v>0</v>
      </c>
      <c r="EO33" s="22">
        <f t="shared" si="230"/>
        <v>0</v>
      </c>
    </row>
    <row r="34" spans="1:145">
      <c r="A34" s="15">
        <v>29</v>
      </c>
      <c r="B34" s="15" t="s">
        <v>537</v>
      </c>
      <c r="C34" s="16" t="s">
        <v>401</v>
      </c>
      <c r="D34" s="16" t="s">
        <v>538</v>
      </c>
      <c r="E34" s="18" t="s">
        <v>399</v>
      </c>
      <c r="F34" s="19">
        <f t="shared" si="0"/>
        <v>8</v>
      </c>
      <c r="G34" s="20"/>
      <c r="H34" s="21"/>
      <c r="I34" s="22">
        <f t="shared" si="1"/>
        <v>0</v>
      </c>
      <c r="J34" s="22">
        <f t="shared" si="185"/>
        <v>0</v>
      </c>
      <c r="K34" s="22"/>
      <c r="L34" s="22">
        <f t="shared" si="2"/>
        <v>0</v>
      </c>
      <c r="M34" s="22">
        <f t="shared" si="186"/>
        <v>0</v>
      </c>
      <c r="N34" s="22"/>
      <c r="O34" s="22">
        <f t="shared" si="3"/>
        <v>0</v>
      </c>
      <c r="P34" s="22">
        <f t="shared" si="187"/>
        <v>0</v>
      </c>
      <c r="Q34" s="22"/>
      <c r="R34" s="22">
        <f t="shared" si="4"/>
        <v>0</v>
      </c>
      <c r="S34" s="22">
        <f t="shared" si="188"/>
        <v>0</v>
      </c>
      <c r="T34" s="22"/>
      <c r="U34" s="22">
        <f t="shared" si="5"/>
        <v>0</v>
      </c>
      <c r="V34" s="22">
        <f t="shared" si="189"/>
        <v>0</v>
      </c>
      <c r="W34" s="22"/>
      <c r="X34" s="22">
        <f t="shared" si="6"/>
        <v>0</v>
      </c>
      <c r="Y34" s="22">
        <f t="shared" si="190"/>
        <v>0</v>
      </c>
      <c r="Z34" s="22"/>
      <c r="AA34" s="22">
        <f t="shared" si="7"/>
        <v>0</v>
      </c>
      <c r="AB34" s="22">
        <f t="shared" si="191"/>
        <v>0</v>
      </c>
      <c r="AC34" s="22">
        <v>1</v>
      </c>
      <c r="AD34" s="22">
        <f t="shared" si="8"/>
        <v>1</v>
      </c>
      <c r="AE34" s="22">
        <f t="shared" si="192"/>
        <v>0</v>
      </c>
      <c r="AF34" s="22">
        <v>1</v>
      </c>
      <c r="AG34" s="22">
        <f t="shared" si="9"/>
        <v>4</v>
      </c>
      <c r="AH34" s="22">
        <f t="shared" si="193"/>
        <v>0</v>
      </c>
      <c r="AI34" s="22"/>
      <c r="AJ34" s="22">
        <f t="shared" si="10"/>
        <v>0</v>
      </c>
      <c r="AK34" s="22">
        <f t="shared" si="194"/>
        <v>0</v>
      </c>
      <c r="AL34" s="22"/>
      <c r="AM34" s="22">
        <f t="shared" si="11"/>
        <v>0</v>
      </c>
      <c r="AN34" s="22">
        <f t="shared" si="195"/>
        <v>0</v>
      </c>
      <c r="AO34" s="22"/>
      <c r="AP34" s="22">
        <f t="shared" si="12"/>
        <v>0</v>
      </c>
      <c r="AQ34" s="22">
        <f t="shared" si="196"/>
        <v>0</v>
      </c>
      <c r="AR34" s="22"/>
      <c r="AS34" s="22">
        <f t="shared" si="13"/>
        <v>0</v>
      </c>
      <c r="AT34" s="22">
        <f t="shared" si="197"/>
        <v>0</v>
      </c>
      <c r="AU34" s="22"/>
      <c r="AV34" s="22">
        <f t="shared" si="14"/>
        <v>0</v>
      </c>
      <c r="AW34" s="22">
        <f t="shared" si="198"/>
        <v>0</v>
      </c>
      <c r="AX34" s="22"/>
      <c r="AY34" s="22">
        <f t="shared" si="15"/>
        <v>0</v>
      </c>
      <c r="AZ34" s="22">
        <f t="shared" si="199"/>
        <v>0</v>
      </c>
      <c r="BA34" s="22"/>
      <c r="BB34" s="22">
        <f t="shared" si="16"/>
        <v>0</v>
      </c>
      <c r="BC34" s="22">
        <f t="shared" si="200"/>
        <v>0</v>
      </c>
      <c r="BD34" s="22"/>
      <c r="BE34" s="22">
        <f t="shared" si="17"/>
        <v>0</v>
      </c>
      <c r="BF34" s="22">
        <f t="shared" si="201"/>
        <v>0</v>
      </c>
      <c r="BG34" s="22"/>
      <c r="BH34" s="22">
        <f t="shared" si="18"/>
        <v>0</v>
      </c>
      <c r="BI34" s="22">
        <f t="shared" si="202"/>
        <v>0</v>
      </c>
      <c r="BJ34" s="22"/>
      <c r="BK34" s="22">
        <f t="shared" si="19"/>
        <v>0</v>
      </c>
      <c r="BL34" s="22">
        <f t="shared" si="203"/>
        <v>0</v>
      </c>
      <c r="BM34" s="22"/>
      <c r="BN34" s="22">
        <f t="shared" si="20"/>
        <v>0</v>
      </c>
      <c r="BO34" s="22">
        <f t="shared" si="204"/>
        <v>0</v>
      </c>
      <c r="BP34" s="22"/>
      <c r="BQ34" s="22">
        <f t="shared" si="21"/>
        <v>0</v>
      </c>
      <c r="BR34" s="22">
        <f t="shared" si="205"/>
        <v>0</v>
      </c>
      <c r="BS34" s="22"/>
      <c r="BT34" s="22">
        <f t="shared" si="22"/>
        <v>0</v>
      </c>
      <c r="BU34" s="22">
        <f t="shared" si="206"/>
        <v>0</v>
      </c>
      <c r="BV34" s="22"/>
      <c r="BW34" s="22">
        <f t="shared" si="23"/>
        <v>0</v>
      </c>
      <c r="BX34" s="22">
        <f t="shared" si="207"/>
        <v>0</v>
      </c>
      <c r="BY34" s="22"/>
      <c r="BZ34" s="22">
        <f t="shared" si="24"/>
        <v>0</v>
      </c>
      <c r="CA34" s="22">
        <f t="shared" si="208"/>
        <v>0</v>
      </c>
      <c r="CB34" s="22"/>
      <c r="CC34" s="22">
        <f t="shared" si="25"/>
        <v>0</v>
      </c>
      <c r="CD34" s="22">
        <f t="shared" si="209"/>
        <v>0</v>
      </c>
      <c r="CE34" s="22"/>
      <c r="CF34" s="22">
        <f t="shared" si="26"/>
        <v>0</v>
      </c>
      <c r="CG34" s="22">
        <f t="shared" si="210"/>
        <v>0</v>
      </c>
      <c r="CH34" s="22"/>
      <c r="CI34" s="22">
        <f t="shared" si="27"/>
        <v>0</v>
      </c>
      <c r="CJ34" s="22">
        <f t="shared" si="211"/>
        <v>0</v>
      </c>
      <c r="CK34" s="22"/>
      <c r="CL34" s="22">
        <f t="shared" si="28"/>
        <v>0</v>
      </c>
      <c r="CM34" s="22">
        <f t="shared" si="212"/>
        <v>0</v>
      </c>
      <c r="CN34" s="22"/>
      <c r="CO34" s="22">
        <f t="shared" si="29"/>
        <v>0</v>
      </c>
      <c r="CP34" s="22">
        <f t="shared" si="213"/>
        <v>0</v>
      </c>
      <c r="CQ34" s="22"/>
      <c r="CR34" s="22">
        <f t="shared" si="30"/>
        <v>0</v>
      </c>
      <c r="CS34" s="22">
        <f t="shared" si="214"/>
        <v>0</v>
      </c>
      <c r="CT34" s="22"/>
      <c r="CU34" s="22">
        <f t="shared" si="31"/>
        <v>0</v>
      </c>
      <c r="CV34" s="22">
        <f t="shared" si="215"/>
        <v>0</v>
      </c>
      <c r="CW34" s="22"/>
      <c r="CX34" s="22">
        <f t="shared" si="32"/>
        <v>0</v>
      </c>
      <c r="CY34" s="22">
        <f t="shared" si="216"/>
        <v>0</v>
      </c>
      <c r="CZ34" s="22"/>
      <c r="DA34" s="22">
        <f t="shared" si="33"/>
        <v>0</v>
      </c>
      <c r="DB34" s="22">
        <f t="shared" si="217"/>
        <v>0</v>
      </c>
      <c r="DC34" s="22"/>
      <c r="DD34" s="22">
        <f t="shared" si="34"/>
        <v>0</v>
      </c>
      <c r="DE34" s="22">
        <f t="shared" si="218"/>
        <v>0</v>
      </c>
      <c r="DF34" s="22"/>
      <c r="DG34" s="22">
        <f t="shared" si="35"/>
        <v>0</v>
      </c>
      <c r="DH34" s="22">
        <f t="shared" si="219"/>
        <v>0</v>
      </c>
      <c r="DI34" s="22"/>
      <c r="DJ34" s="22">
        <f t="shared" si="36"/>
        <v>0</v>
      </c>
      <c r="DK34" s="22">
        <f t="shared" si="220"/>
        <v>0</v>
      </c>
      <c r="DL34" s="22"/>
      <c r="DM34" s="22">
        <f t="shared" si="37"/>
        <v>0</v>
      </c>
      <c r="DN34" s="22">
        <f t="shared" si="221"/>
        <v>0</v>
      </c>
      <c r="DO34" s="22"/>
      <c r="DP34" s="22">
        <f t="shared" si="38"/>
        <v>0</v>
      </c>
      <c r="DQ34" s="22">
        <f t="shared" si="222"/>
        <v>0</v>
      </c>
      <c r="DR34" s="22"/>
      <c r="DS34" s="22">
        <f t="shared" si="39"/>
        <v>0</v>
      </c>
      <c r="DT34" s="22">
        <f t="shared" si="223"/>
        <v>0</v>
      </c>
      <c r="DU34" s="22"/>
      <c r="DV34" s="22">
        <f t="shared" si="40"/>
        <v>0</v>
      </c>
      <c r="DW34" s="22">
        <f t="shared" si="224"/>
        <v>0</v>
      </c>
      <c r="DX34" s="22"/>
      <c r="DY34" s="22">
        <f t="shared" si="41"/>
        <v>0</v>
      </c>
      <c r="DZ34" s="22">
        <f t="shared" si="225"/>
        <v>0</v>
      </c>
      <c r="EA34" s="22">
        <v>1</v>
      </c>
      <c r="EB34" s="22">
        <f t="shared" si="42"/>
        <v>3</v>
      </c>
      <c r="EC34" s="22">
        <f t="shared" si="226"/>
        <v>0</v>
      </c>
      <c r="ED34" s="22"/>
      <c r="EE34" s="22">
        <f t="shared" si="43"/>
        <v>0</v>
      </c>
      <c r="EF34" s="22">
        <f t="shared" si="227"/>
        <v>0</v>
      </c>
      <c r="EG34" s="22"/>
      <c r="EH34" s="22">
        <f t="shared" si="44"/>
        <v>0</v>
      </c>
      <c r="EI34" s="22">
        <f t="shared" si="228"/>
        <v>0</v>
      </c>
      <c r="EJ34" s="22"/>
      <c r="EK34" s="22">
        <f t="shared" si="45"/>
        <v>0</v>
      </c>
      <c r="EL34" s="22">
        <f t="shared" si="229"/>
        <v>0</v>
      </c>
      <c r="EM34" s="22"/>
      <c r="EN34" s="22">
        <f t="shared" si="46"/>
        <v>0</v>
      </c>
      <c r="EO34" s="22">
        <f t="shared" si="230"/>
        <v>0</v>
      </c>
    </row>
    <row r="35" spans="1:145">
      <c r="A35" s="15">
        <v>30</v>
      </c>
      <c r="B35" s="15" t="s">
        <v>539</v>
      </c>
      <c r="C35" s="16" t="s">
        <v>401</v>
      </c>
      <c r="D35" s="16" t="s">
        <v>540</v>
      </c>
      <c r="E35" s="18" t="s">
        <v>399</v>
      </c>
      <c r="F35" s="19">
        <f t="shared" si="0"/>
        <v>5</v>
      </c>
      <c r="G35" s="20"/>
      <c r="H35" s="21"/>
      <c r="I35" s="22">
        <f t="shared" si="1"/>
        <v>0</v>
      </c>
      <c r="J35" s="22">
        <f t="shared" si="185"/>
        <v>0</v>
      </c>
      <c r="K35" s="22"/>
      <c r="L35" s="22">
        <f t="shared" si="2"/>
        <v>0</v>
      </c>
      <c r="M35" s="22">
        <f t="shared" si="186"/>
        <v>0</v>
      </c>
      <c r="N35" s="22"/>
      <c r="O35" s="22">
        <f t="shared" si="3"/>
        <v>0</v>
      </c>
      <c r="P35" s="22">
        <f t="shared" si="187"/>
        <v>0</v>
      </c>
      <c r="Q35" s="22"/>
      <c r="R35" s="22">
        <f t="shared" si="4"/>
        <v>0</v>
      </c>
      <c r="S35" s="22">
        <f t="shared" si="188"/>
        <v>0</v>
      </c>
      <c r="T35" s="22"/>
      <c r="U35" s="22">
        <f t="shared" si="5"/>
        <v>0</v>
      </c>
      <c r="V35" s="22">
        <f t="shared" si="189"/>
        <v>0</v>
      </c>
      <c r="W35" s="22"/>
      <c r="X35" s="22">
        <f t="shared" si="6"/>
        <v>0</v>
      </c>
      <c r="Y35" s="22">
        <f t="shared" si="190"/>
        <v>0</v>
      </c>
      <c r="Z35" s="22"/>
      <c r="AA35" s="22">
        <f t="shared" si="7"/>
        <v>0</v>
      </c>
      <c r="AB35" s="22">
        <f t="shared" si="191"/>
        <v>0</v>
      </c>
      <c r="AC35" s="22">
        <v>1</v>
      </c>
      <c r="AD35" s="22">
        <f t="shared" si="8"/>
        <v>1</v>
      </c>
      <c r="AE35" s="22">
        <f t="shared" si="192"/>
        <v>0</v>
      </c>
      <c r="AF35" s="22">
        <v>1</v>
      </c>
      <c r="AG35" s="22">
        <f t="shared" si="9"/>
        <v>4</v>
      </c>
      <c r="AH35" s="22">
        <f t="shared" si="193"/>
        <v>0</v>
      </c>
      <c r="AI35" s="22"/>
      <c r="AJ35" s="22">
        <f t="shared" si="10"/>
        <v>0</v>
      </c>
      <c r="AK35" s="22">
        <f t="shared" si="194"/>
        <v>0</v>
      </c>
      <c r="AL35" s="22"/>
      <c r="AM35" s="22">
        <f t="shared" si="11"/>
        <v>0</v>
      </c>
      <c r="AN35" s="22">
        <f t="shared" si="195"/>
        <v>0</v>
      </c>
      <c r="AO35" s="22"/>
      <c r="AP35" s="22">
        <f t="shared" si="12"/>
        <v>0</v>
      </c>
      <c r="AQ35" s="22">
        <f t="shared" si="196"/>
        <v>0</v>
      </c>
      <c r="AR35" s="22"/>
      <c r="AS35" s="22">
        <f t="shared" si="13"/>
        <v>0</v>
      </c>
      <c r="AT35" s="22">
        <f t="shared" si="197"/>
        <v>0</v>
      </c>
      <c r="AU35" s="22"/>
      <c r="AV35" s="22">
        <f t="shared" si="14"/>
        <v>0</v>
      </c>
      <c r="AW35" s="22">
        <f t="shared" si="198"/>
        <v>0</v>
      </c>
      <c r="AX35" s="22"/>
      <c r="AY35" s="22">
        <f t="shared" si="15"/>
        <v>0</v>
      </c>
      <c r="AZ35" s="22">
        <f t="shared" si="199"/>
        <v>0</v>
      </c>
      <c r="BA35" s="22"/>
      <c r="BB35" s="22">
        <f t="shared" si="16"/>
        <v>0</v>
      </c>
      <c r="BC35" s="22">
        <f t="shared" si="200"/>
        <v>0</v>
      </c>
      <c r="BD35" s="22"/>
      <c r="BE35" s="22">
        <f t="shared" si="17"/>
        <v>0</v>
      </c>
      <c r="BF35" s="22">
        <f t="shared" si="201"/>
        <v>0</v>
      </c>
      <c r="BG35" s="22"/>
      <c r="BH35" s="22">
        <f t="shared" si="18"/>
        <v>0</v>
      </c>
      <c r="BI35" s="22">
        <f t="shared" si="202"/>
        <v>0</v>
      </c>
      <c r="BJ35" s="22"/>
      <c r="BK35" s="22">
        <f t="shared" si="19"/>
        <v>0</v>
      </c>
      <c r="BL35" s="22">
        <f t="shared" si="203"/>
        <v>0</v>
      </c>
      <c r="BM35" s="22"/>
      <c r="BN35" s="22">
        <f t="shared" si="20"/>
        <v>0</v>
      </c>
      <c r="BO35" s="22">
        <f t="shared" si="204"/>
        <v>0</v>
      </c>
      <c r="BP35" s="22"/>
      <c r="BQ35" s="22">
        <f t="shared" si="21"/>
        <v>0</v>
      </c>
      <c r="BR35" s="22">
        <f t="shared" si="205"/>
        <v>0</v>
      </c>
      <c r="BS35" s="22"/>
      <c r="BT35" s="22">
        <f t="shared" si="22"/>
        <v>0</v>
      </c>
      <c r="BU35" s="22">
        <f t="shared" si="206"/>
        <v>0</v>
      </c>
      <c r="BV35" s="22"/>
      <c r="BW35" s="22">
        <f t="shared" si="23"/>
        <v>0</v>
      </c>
      <c r="BX35" s="22">
        <f t="shared" si="207"/>
        <v>0</v>
      </c>
      <c r="BY35" s="22"/>
      <c r="BZ35" s="22">
        <f t="shared" si="24"/>
        <v>0</v>
      </c>
      <c r="CA35" s="22">
        <f t="shared" si="208"/>
        <v>0</v>
      </c>
      <c r="CB35" s="22"/>
      <c r="CC35" s="22">
        <f t="shared" si="25"/>
        <v>0</v>
      </c>
      <c r="CD35" s="22">
        <f t="shared" si="209"/>
        <v>0</v>
      </c>
      <c r="CE35" s="22"/>
      <c r="CF35" s="22">
        <f t="shared" si="26"/>
        <v>0</v>
      </c>
      <c r="CG35" s="22">
        <f t="shared" si="210"/>
        <v>0</v>
      </c>
      <c r="CH35" s="22"/>
      <c r="CI35" s="22">
        <f t="shared" si="27"/>
        <v>0</v>
      </c>
      <c r="CJ35" s="22">
        <f t="shared" si="211"/>
        <v>0</v>
      </c>
      <c r="CK35" s="22"/>
      <c r="CL35" s="22">
        <f t="shared" si="28"/>
        <v>0</v>
      </c>
      <c r="CM35" s="22">
        <f t="shared" si="212"/>
        <v>0</v>
      </c>
      <c r="CN35" s="22"/>
      <c r="CO35" s="22">
        <f t="shared" si="29"/>
        <v>0</v>
      </c>
      <c r="CP35" s="22">
        <f t="shared" si="213"/>
        <v>0</v>
      </c>
      <c r="CQ35" s="22"/>
      <c r="CR35" s="22">
        <f t="shared" si="30"/>
        <v>0</v>
      </c>
      <c r="CS35" s="22">
        <f t="shared" si="214"/>
        <v>0</v>
      </c>
      <c r="CT35" s="22"/>
      <c r="CU35" s="22">
        <f t="shared" si="31"/>
        <v>0</v>
      </c>
      <c r="CV35" s="22">
        <f t="shared" si="215"/>
        <v>0</v>
      </c>
      <c r="CW35" s="22"/>
      <c r="CX35" s="22">
        <f t="shared" si="32"/>
        <v>0</v>
      </c>
      <c r="CY35" s="22">
        <f t="shared" si="216"/>
        <v>0</v>
      </c>
      <c r="CZ35" s="22"/>
      <c r="DA35" s="22">
        <f t="shared" si="33"/>
        <v>0</v>
      </c>
      <c r="DB35" s="22">
        <f t="shared" si="217"/>
        <v>0</v>
      </c>
      <c r="DC35" s="22"/>
      <c r="DD35" s="22">
        <f t="shared" si="34"/>
        <v>0</v>
      </c>
      <c r="DE35" s="22">
        <f t="shared" si="218"/>
        <v>0</v>
      </c>
      <c r="DF35" s="22"/>
      <c r="DG35" s="22">
        <f t="shared" si="35"/>
        <v>0</v>
      </c>
      <c r="DH35" s="22">
        <f t="shared" si="219"/>
        <v>0</v>
      </c>
      <c r="DI35" s="22"/>
      <c r="DJ35" s="22">
        <f t="shared" si="36"/>
        <v>0</v>
      </c>
      <c r="DK35" s="22">
        <f t="shared" si="220"/>
        <v>0</v>
      </c>
      <c r="DL35" s="22"/>
      <c r="DM35" s="22">
        <f t="shared" si="37"/>
        <v>0</v>
      </c>
      <c r="DN35" s="22">
        <f t="shared" si="221"/>
        <v>0</v>
      </c>
      <c r="DO35" s="22"/>
      <c r="DP35" s="22">
        <f t="shared" si="38"/>
        <v>0</v>
      </c>
      <c r="DQ35" s="22">
        <f t="shared" si="222"/>
        <v>0</v>
      </c>
      <c r="DR35" s="22"/>
      <c r="DS35" s="22">
        <f t="shared" si="39"/>
        <v>0</v>
      </c>
      <c r="DT35" s="22">
        <f t="shared" si="223"/>
        <v>0</v>
      </c>
      <c r="DU35" s="22"/>
      <c r="DV35" s="22">
        <f t="shared" si="40"/>
        <v>0</v>
      </c>
      <c r="DW35" s="22">
        <f t="shared" si="224"/>
        <v>0</v>
      </c>
      <c r="DX35" s="22"/>
      <c r="DY35" s="22">
        <f t="shared" si="41"/>
        <v>0</v>
      </c>
      <c r="DZ35" s="22">
        <f t="shared" si="225"/>
        <v>0</v>
      </c>
      <c r="EA35" s="22"/>
      <c r="EB35" s="22">
        <f t="shared" si="42"/>
        <v>0</v>
      </c>
      <c r="EC35" s="22">
        <f t="shared" si="226"/>
        <v>0</v>
      </c>
      <c r="ED35" s="22"/>
      <c r="EE35" s="22">
        <f t="shared" si="43"/>
        <v>0</v>
      </c>
      <c r="EF35" s="22">
        <f t="shared" si="227"/>
        <v>0</v>
      </c>
      <c r="EG35" s="22"/>
      <c r="EH35" s="22">
        <f t="shared" si="44"/>
        <v>0</v>
      </c>
      <c r="EI35" s="22">
        <f t="shared" si="228"/>
        <v>0</v>
      </c>
      <c r="EJ35" s="22"/>
      <c r="EK35" s="22">
        <f t="shared" si="45"/>
        <v>0</v>
      </c>
      <c r="EL35" s="22">
        <f t="shared" si="229"/>
        <v>0</v>
      </c>
      <c r="EM35" s="22"/>
      <c r="EN35" s="22">
        <f t="shared" si="46"/>
        <v>0</v>
      </c>
      <c r="EO35" s="22">
        <f t="shared" si="230"/>
        <v>0</v>
      </c>
    </row>
    <row r="36" spans="1:145">
      <c r="A36" s="15">
        <v>31</v>
      </c>
      <c r="B36" s="15" t="s">
        <v>519</v>
      </c>
      <c r="C36" s="16" t="s">
        <v>414</v>
      </c>
      <c r="D36" s="15" t="s">
        <v>541</v>
      </c>
      <c r="E36" s="15" t="s">
        <v>376</v>
      </c>
      <c r="F36" s="19">
        <f t="shared" si="0"/>
        <v>1</v>
      </c>
      <c r="G36" s="20"/>
      <c r="H36" s="21"/>
      <c r="I36" s="22">
        <f t="shared" si="1"/>
        <v>0</v>
      </c>
      <c r="J36" s="22">
        <f t="shared" si="185"/>
        <v>0</v>
      </c>
      <c r="K36" s="22"/>
      <c r="L36" s="22">
        <f t="shared" si="2"/>
        <v>0</v>
      </c>
      <c r="M36" s="22">
        <f t="shared" si="186"/>
        <v>0</v>
      </c>
      <c r="N36" s="22"/>
      <c r="O36" s="22">
        <f t="shared" si="3"/>
        <v>0</v>
      </c>
      <c r="P36" s="22">
        <f t="shared" si="187"/>
        <v>0</v>
      </c>
      <c r="Q36" s="22"/>
      <c r="R36" s="22">
        <f t="shared" si="4"/>
        <v>0</v>
      </c>
      <c r="S36" s="22">
        <f t="shared" si="188"/>
        <v>0</v>
      </c>
      <c r="T36" s="22"/>
      <c r="U36" s="22">
        <f t="shared" si="5"/>
        <v>0</v>
      </c>
      <c r="V36" s="22">
        <f t="shared" si="189"/>
        <v>0</v>
      </c>
      <c r="W36" s="22"/>
      <c r="X36" s="22">
        <f t="shared" si="6"/>
        <v>0</v>
      </c>
      <c r="Y36" s="22">
        <f t="shared" si="190"/>
        <v>0</v>
      </c>
      <c r="Z36" s="22"/>
      <c r="AA36" s="22">
        <f t="shared" si="7"/>
        <v>0</v>
      </c>
      <c r="AB36" s="22">
        <f t="shared" si="191"/>
        <v>0</v>
      </c>
      <c r="AC36" s="22">
        <v>1</v>
      </c>
      <c r="AD36" s="22">
        <f t="shared" si="8"/>
        <v>1</v>
      </c>
      <c r="AE36" s="22">
        <f t="shared" si="192"/>
        <v>0</v>
      </c>
      <c r="AF36" s="22"/>
      <c r="AG36" s="22">
        <f t="shared" si="9"/>
        <v>0</v>
      </c>
      <c r="AH36" s="22">
        <f t="shared" si="193"/>
        <v>0</v>
      </c>
      <c r="AI36" s="22"/>
      <c r="AJ36" s="22">
        <f t="shared" si="10"/>
        <v>0</v>
      </c>
      <c r="AK36" s="22">
        <f t="shared" si="194"/>
        <v>0</v>
      </c>
      <c r="AL36" s="22"/>
      <c r="AM36" s="22">
        <f t="shared" si="11"/>
        <v>0</v>
      </c>
      <c r="AN36" s="22">
        <f t="shared" si="195"/>
        <v>0</v>
      </c>
      <c r="AO36" s="22"/>
      <c r="AP36" s="22">
        <f t="shared" si="12"/>
        <v>0</v>
      </c>
      <c r="AQ36" s="22">
        <f t="shared" si="196"/>
        <v>0</v>
      </c>
      <c r="AR36" s="22"/>
      <c r="AS36" s="22">
        <f t="shared" si="13"/>
        <v>0</v>
      </c>
      <c r="AT36" s="22">
        <f t="shared" si="197"/>
        <v>0</v>
      </c>
      <c r="AU36" s="22"/>
      <c r="AV36" s="22">
        <f t="shared" si="14"/>
        <v>0</v>
      </c>
      <c r="AW36" s="22">
        <f t="shared" si="198"/>
        <v>0</v>
      </c>
      <c r="AX36" s="22"/>
      <c r="AY36" s="22">
        <f t="shared" si="15"/>
        <v>0</v>
      </c>
      <c r="AZ36" s="22">
        <f t="shared" si="199"/>
        <v>0</v>
      </c>
      <c r="BA36" s="22"/>
      <c r="BB36" s="22">
        <f t="shared" si="16"/>
        <v>0</v>
      </c>
      <c r="BC36" s="22">
        <f t="shared" si="200"/>
        <v>0</v>
      </c>
      <c r="BD36" s="22"/>
      <c r="BE36" s="22">
        <f t="shared" si="17"/>
        <v>0</v>
      </c>
      <c r="BF36" s="22">
        <f t="shared" si="201"/>
        <v>0</v>
      </c>
      <c r="BG36" s="22"/>
      <c r="BH36" s="22">
        <f t="shared" si="18"/>
        <v>0</v>
      </c>
      <c r="BI36" s="22">
        <f t="shared" si="202"/>
        <v>0</v>
      </c>
      <c r="BJ36" s="22"/>
      <c r="BK36" s="22">
        <f t="shared" si="19"/>
        <v>0</v>
      </c>
      <c r="BL36" s="22">
        <f t="shared" si="203"/>
        <v>0</v>
      </c>
      <c r="BM36" s="22"/>
      <c r="BN36" s="22">
        <f t="shared" si="20"/>
        <v>0</v>
      </c>
      <c r="BO36" s="22">
        <f t="shared" si="204"/>
        <v>0</v>
      </c>
      <c r="BP36" s="22"/>
      <c r="BQ36" s="22">
        <f t="shared" si="21"/>
        <v>0</v>
      </c>
      <c r="BR36" s="22">
        <f t="shared" si="205"/>
        <v>0</v>
      </c>
      <c r="BS36" s="22"/>
      <c r="BT36" s="22">
        <f t="shared" si="22"/>
        <v>0</v>
      </c>
      <c r="BU36" s="22">
        <f t="shared" si="206"/>
        <v>0</v>
      </c>
      <c r="BV36" s="22"/>
      <c r="BW36" s="22">
        <f t="shared" si="23"/>
        <v>0</v>
      </c>
      <c r="BX36" s="22">
        <f t="shared" si="207"/>
        <v>0</v>
      </c>
      <c r="BY36" s="22"/>
      <c r="BZ36" s="22">
        <f t="shared" si="24"/>
        <v>0</v>
      </c>
      <c r="CA36" s="22">
        <f t="shared" si="208"/>
        <v>0</v>
      </c>
      <c r="CB36" s="22"/>
      <c r="CC36" s="22">
        <f t="shared" si="25"/>
        <v>0</v>
      </c>
      <c r="CD36" s="22">
        <f t="shared" si="209"/>
        <v>0</v>
      </c>
      <c r="CE36" s="22"/>
      <c r="CF36" s="22">
        <f t="shared" si="26"/>
        <v>0</v>
      </c>
      <c r="CG36" s="22">
        <f t="shared" si="210"/>
        <v>0</v>
      </c>
      <c r="CH36" s="22"/>
      <c r="CI36" s="22">
        <f t="shared" si="27"/>
        <v>0</v>
      </c>
      <c r="CJ36" s="22">
        <f t="shared" si="211"/>
        <v>0</v>
      </c>
      <c r="CK36" s="22"/>
      <c r="CL36" s="22">
        <f t="shared" si="28"/>
        <v>0</v>
      </c>
      <c r="CM36" s="22">
        <f t="shared" si="212"/>
        <v>0</v>
      </c>
      <c r="CN36" s="22"/>
      <c r="CO36" s="22">
        <f t="shared" si="29"/>
        <v>0</v>
      </c>
      <c r="CP36" s="22">
        <f t="shared" si="213"/>
        <v>0</v>
      </c>
      <c r="CQ36" s="22"/>
      <c r="CR36" s="22">
        <f t="shared" si="30"/>
        <v>0</v>
      </c>
      <c r="CS36" s="22">
        <f t="shared" si="214"/>
        <v>0</v>
      </c>
      <c r="CT36" s="22"/>
      <c r="CU36" s="22">
        <f t="shared" si="31"/>
        <v>0</v>
      </c>
      <c r="CV36" s="22">
        <f t="shared" si="215"/>
        <v>0</v>
      </c>
      <c r="CW36" s="22"/>
      <c r="CX36" s="22">
        <f t="shared" si="32"/>
        <v>0</v>
      </c>
      <c r="CY36" s="22">
        <f t="shared" si="216"/>
        <v>0</v>
      </c>
      <c r="CZ36" s="22"/>
      <c r="DA36" s="22">
        <f t="shared" si="33"/>
        <v>0</v>
      </c>
      <c r="DB36" s="22">
        <f t="shared" si="217"/>
        <v>0</v>
      </c>
      <c r="DC36" s="22"/>
      <c r="DD36" s="22">
        <f t="shared" si="34"/>
        <v>0</v>
      </c>
      <c r="DE36" s="22">
        <f t="shared" si="218"/>
        <v>0</v>
      </c>
      <c r="DF36" s="22"/>
      <c r="DG36" s="22">
        <f t="shared" si="35"/>
        <v>0</v>
      </c>
      <c r="DH36" s="22">
        <f t="shared" si="219"/>
        <v>0</v>
      </c>
      <c r="DI36" s="22"/>
      <c r="DJ36" s="22">
        <f t="shared" si="36"/>
        <v>0</v>
      </c>
      <c r="DK36" s="22">
        <f t="shared" si="220"/>
        <v>0</v>
      </c>
      <c r="DL36" s="22"/>
      <c r="DM36" s="22">
        <f t="shared" si="37"/>
        <v>0</v>
      </c>
      <c r="DN36" s="22">
        <f t="shared" si="221"/>
        <v>0</v>
      </c>
      <c r="DO36" s="22"/>
      <c r="DP36" s="22">
        <f t="shared" si="38"/>
        <v>0</v>
      </c>
      <c r="DQ36" s="22">
        <f t="shared" si="222"/>
        <v>0</v>
      </c>
      <c r="DR36" s="22"/>
      <c r="DS36" s="22">
        <f t="shared" si="39"/>
        <v>0</v>
      </c>
      <c r="DT36" s="22">
        <f t="shared" si="223"/>
        <v>0</v>
      </c>
      <c r="DU36" s="22"/>
      <c r="DV36" s="22">
        <f t="shared" si="40"/>
        <v>0</v>
      </c>
      <c r="DW36" s="22">
        <f t="shared" si="224"/>
        <v>0</v>
      </c>
      <c r="DX36" s="22"/>
      <c r="DY36" s="22">
        <f t="shared" si="41"/>
        <v>0</v>
      </c>
      <c r="DZ36" s="22">
        <f t="shared" si="225"/>
        <v>0</v>
      </c>
      <c r="EA36" s="22"/>
      <c r="EB36" s="22">
        <f t="shared" si="42"/>
        <v>0</v>
      </c>
      <c r="EC36" s="22">
        <f t="shared" si="226"/>
        <v>0</v>
      </c>
      <c r="ED36" s="22"/>
      <c r="EE36" s="22">
        <f t="shared" si="43"/>
        <v>0</v>
      </c>
      <c r="EF36" s="22">
        <f t="shared" si="227"/>
        <v>0</v>
      </c>
      <c r="EG36" s="22"/>
      <c r="EH36" s="22">
        <f t="shared" si="44"/>
        <v>0</v>
      </c>
      <c r="EI36" s="22">
        <f t="shared" si="228"/>
        <v>0</v>
      </c>
      <c r="EJ36" s="22"/>
      <c r="EK36" s="22">
        <f t="shared" si="45"/>
        <v>0</v>
      </c>
      <c r="EL36" s="22">
        <f t="shared" si="229"/>
        <v>0</v>
      </c>
      <c r="EM36" s="22"/>
      <c r="EN36" s="22">
        <f t="shared" si="46"/>
        <v>0</v>
      </c>
      <c r="EO36" s="22">
        <f t="shared" si="230"/>
        <v>0</v>
      </c>
    </row>
    <row r="37" spans="1:145">
      <c r="A37" s="15">
        <v>32</v>
      </c>
      <c r="B37" s="15" t="s">
        <v>542</v>
      </c>
      <c r="C37" s="16" t="s">
        <v>414</v>
      </c>
      <c r="D37" s="15" t="s">
        <v>543</v>
      </c>
      <c r="E37" s="15" t="s">
        <v>416</v>
      </c>
      <c r="F37" s="19">
        <f t="shared" si="0"/>
        <v>1</v>
      </c>
      <c r="G37" s="20"/>
      <c r="H37" s="21"/>
      <c r="I37" s="22">
        <f t="shared" si="1"/>
        <v>0</v>
      </c>
      <c r="J37" s="22">
        <f>$G37*H37</f>
        <v>0</v>
      </c>
      <c r="K37" s="22"/>
      <c r="L37" s="22">
        <f t="shared" si="2"/>
        <v>0</v>
      </c>
      <c r="M37" s="22">
        <f>$G37*K37</f>
        <v>0</v>
      </c>
      <c r="N37" s="22"/>
      <c r="O37" s="22">
        <f t="shared" si="3"/>
        <v>0</v>
      </c>
      <c r="P37" s="22">
        <f>$G37*N37</f>
        <v>0</v>
      </c>
      <c r="Q37" s="22"/>
      <c r="R37" s="22">
        <f t="shared" si="4"/>
        <v>0</v>
      </c>
      <c r="S37" s="22">
        <f>$G37*Q37</f>
        <v>0</v>
      </c>
      <c r="T37" s="22"/>
      <c r="U37" s="22">
        <f t="shared" si="5"/>
        <v>0</v>
      </c>
      <c r="V37" s="22">
        <f>$G37*T37</f>
        <v>0</v>
      </c>
      <c r="W37" s="22"/>
      <c r="X37" s="22">
        <f t="shared" si="6"/>
        <v>0</v>
      </c>
      <c r="Y37" s="22">
        <f>$G37*W37</f>
        <v>0</v>
      </c>
      <c r="Z37" s="22"/>
      <c r="AA37" s="22">
        <f t="shared" si="7"/>
        <v>0</v>
      </c>
      <c r="AB37" s="22">
        <f>$G37*Z37</f>
        <v>0</v>
      </c>
      <c r="AC37" s="22">
        <v>1</v>
      </c>
      <c r="AD37" s="22">
        <f t="shared" si="8"/>
        <v>1</v>
      </c>
      <c r="AE37" s="22">
        <f>$G37*AC37</f>
        <v>0</v>
      </c>
      <c r="AF37" s="22"/>
      <c r="AG37" s="22">
        <f t="shared" si="9"/>
        <v>0</v>
      </c>
      <c r="AH37" s="22">
        <f>$G37*AF37</f>
        <v>0</v>
      </c>
      <c r="AI37" s="22"/>
      <c r="AJ37" s="22">
        <f t="shared" si="10"/>
        <v>0</v>
      </c>
      <c r="AK37" s="22">
        <f>$G37*AI37</f>
        <v>0</v>
      </c>
      <c r="AL37" s="22"/>
      <c r="AM37" s="22">
        <f t="shared" si="11"/>
        <v>0</v>
      </c>
      <c r="AN37" s="22">
        <f>$G37*AL37</f>
        <v>0</v>
      </c>
      <c r="AO37" s="22"/>
      <c r="AP37" s="22">
        <f t="shared" si="12"/>
        <v>0</v>
      </c>
      <c r="AQ37" s="22">
        <f>$G37*AO37</f>
        <v>0</v>
      </c>
      <c r="AR37" s="22"/>
      <c r="AS37" s="22">
        <f t="shared" si="13"/>
        <v>0</v>
      </c>
      <c r="AT37" s="22">
        <f>$G37*AR37</f>
        <v>0</v>
      </c>
      <c r="AU37" s="22"/>
      <c r="AV37" s="22">
        <f t="shared" si="14"/>
        <v>0</v>
      </c>
      <c r="AW37" s="22">
        <f>$G37*AU37</f>
        <v>0</v>
      </c>
      <c r="AX37" s="22"/>
      <c r="AY37" s="22">
        <f t="shared" si="15"/>
        <v>0</v>
      </c>
      <c r="AZ37" s="22">
        <f>$G37*AX37</f>
        <v>0</v>
      </c>
      <c r="BA37" s="22"/>
      <c r="BB37" s="22">
        <f t="shared" si="16"/>
        <v>0</v>
      </c>
      <c r="BC37" s="22">
        <f>$G37*BA37</f>
        <v>0</v>
      </c>
      <c r="BD37" s="22"/>
      <c r="BE37" s="22">
        <f t="shared" si="17"/>
        <v>0</v>
      </c>
      <c r="BF37" s="22">
        <f>$G37*BD37</f>
        <v>0</v>
      </c>
      <c r="BG37" s="22"/>
      <c r="BH37" s="22">
        <f t="shared" si="18"/>
        <v>0</v>
      </c>
      <c r="BI37" s="22">
        <f>$G37*BG37</f>
        <v>0</v>
      </c>
      <c r="BJ37" s="22"/>
      <c r="BK37" s="22">
        <f t="shared" si="19"/>
        <v>0</v>
      </c>
      <c r="BL37" s="22">
        <f>$G37*BJ37</f>
        <v>0</v>
      </c>
      <c r="BM37" s="22"/>
      <c r="BN37" s="22">
        <f t="shared" si="20"/>
        <v>0</v>
      </c>
      <c r="BO37" s="22">
        <f>$G37*BM37</f>
        <v>0</v>
      </c>
      <c r="BP37" s="22"/>
      <c r="BQ37" s="22">
        <f t="shared" si="21"/>
        <v>0</v>
      </c>
      <c r="BR37" s="22">
        <f>$G37*BP37</f>
        <v>0</v>
      </c>
      <c r="BS37" s="22"/>
      <c r="BT37" s="22">
        <f t="shared" si="22"/>
        <v>0</v>
      </c>
      <c r="BU37" s="22">
        <f>$G37*BS37</f>
        <v>0</v>
      </c>
      <c r="BV37" s="22"/>
      <c r="BW37" s="22">
        <f t="shared" si="23"/>
        <v>0</v>
      </c>
      <c r="BX37" s="22">
        <f>$G37*BV37</f>
        <v>0</v>
      </c>
      <c r="BY37" s="22"/>
      <c r="BZ37" s="22">
        <f t="shared" si="24"/>
        <v>0</v>
      </c>
      <c r="CA37" s="22">
        <f>$G37*BY37</f>
        <v>0</v>
      </c>
      <c r="CB37" s="22"/>
      <c r="CC37" s="22">
        <f t="shared" si="25"/>
        <v>0</v>
      </c>
      <c r="CD37" s="22">
        <f>$G37*CB37</f>
        <v>0</v>
      </c>
      <c r="CE37" s="22"/>
      <c r="CF37" s="22">
        <f t="shared" si="26"/>
        <v>0</v>
      </c>
      <c r="CG37" s="22">
        <f>$G37*CE37</f>
        <v>0</v>
      </c>
      <c r="CH37" s="22"/>
      <c r="CI37" s="22">
        <f t="shared" si="27"/>
        <v>0</v>
      </c>
      <c r="CJ37" s="22">
        <f>$G37*CH37</f>
        <v>0</v>
      </c>
      <c r="CK37" s="22"/>
      <c r="CL37" s="22">
        <f t="shared" si="28"/>
        <v>0</v>
      </c>
      <c r="CM37" s="22">
        <f>$G37*CK37</f>
        <v>0</v>
      </c>
      <c r="CN37" s="22"/>
      <c r="CO37" s="22">
        <f t="shared" si="29"/>
        <v>0</v>
      </c>
      <c r="CP37" s="22">
        <f>$G37*CN37</f>
        <v>0</v>
      </c>
      <c r="CQ37" s="22"/>
      <c r="CR37" s="22">
        <f t="shared" si="30"/>
        <v>0</v>
      </c>
      <c r="CS37" s="22">
        <f>$G37*CQ37</f>
        <v>0</v>
      </c>
      <c r="CT37" s="22"/>
      <c r="CU37" s="22">
        <f t="shared" si="31"/>
        <v>0</v>
      </c>
      <c r="CV37" s="22">
        <f>$G37*CT37</f>
        <v>0</v>
      </c>
      <c r="CW37" s="22"/>
      <c r="CX37" s="22">
        <f t="shared" si="32"/>
        <v>0</v>
      </c>
      <c r="CY37" s="22">
        <f>$G37*CW37</f>
        <v>0</v>
      </c>
      <c r="CZ37" s="22"/>
      <c r="DA37" s="22">
        <f t="shared" si="33"/>
        <v>0</v>
      </c>
      <c r="DB37" s="22">
        <f>$G37*CZ37</f>
        <v>0</v>
      </c>
      <c r="DC37" s="22"/>
      <c r="DD37" s="22">
        <f t="shared" si="34"/>
        <v>0</v>
      </c>
      <c r="DE37" s="22">
        <f>$G37*DC37</f>
        <v>0</v>
      </c>
      <c r="DF37" s="22"/>
      <c r="DG37" s="22">
        <f t="shared" si="35"/>
        <v>0</v>
      </c>
      <c r="DH37" s="22">
        <f>$G37*DF37</f>
        <v>0</v>
      </c>
      <c r="DI37" s="22"/>
      <c r="DJ37" s="22">
        <f t="shared" si="36"/>
        <v>0</v>
      </c>
      <c r="DK37" s="22">
        <f>$G37*DI37</f>
        <v>0</v>
      </c>
      <c r="DL37" s="22"/>
      <c r="DM37" s="22">
        <f t="shared" si="37"/>
        <v>0</v>
      </c>
      <c r="DN37" s="22">
        <f>$G37*DL37</f>
        <v>0</v>
      </c>
      <c r="DO37" s="22"/>
      <c r="DP37" s="22">
        <f t="shared" si="38"/>
        <v>0</v>
      </c>
      <c r="DQ37" s="22">
        <f>$G37*DO37</f>
        <v>0</v>
      </c>
      <c r="DR37" s="22"/>
      <c r="DS37" s="22">
        <f t="shared" si="39"/>
        <v>0</v>
      </c>
      <c r="DT37" s="22">
        <f>$G37*DR37</f>
        <v>0</v>
      </c>
      <c r="DU37" s="22"/>
      <c r="DV37" s="22">
        <f t="shared" si="40"/>
        <v>0</v>
      </c>
      <c r="DW37" s="22">
        <f>$G37*DU37</f>
        <v>0</v>
      </c>
      <c r="DX37" s="22"/>
      <c r="DY37" s="22">
        <f t="shared" si="41"/>
        <v>0</v>
      </c>
      <c r="DZ37" s="22">
        <f>$G37*DX37</f>
        <v>0</v>
      </c>
      <c r="EA37" s="22"/>
      <c r="EB37" s="22">
        <f t="shared" si="42"/>
        <v>0</v>
      </c>
      <c r="EC37" s="22">
        <f>$G37*EA37</f>
        <v>0</v>
      </c>
      <c r="ED37" s="22"/>
      <c r="EE37" s="22">
        <f t="shared" si="43"/>
        <v>0</v>
      </c>
      <c r="EF37" s="22">
        <f>$G37*ED37</f>
        <v>0</v>
      </c>
      <c r="EG37" s="22"/>
      <c r="EH37" s="22">
        <f t="shared" si="44"/>
        <v>0</v>
      </c>
      <c r="EI37" s="22">
        <f>$G37*EG37</f>
        <v>0</v>
      </c>
      <c r="EJ37" s="22"/>
      <c r="EK37" s="22">
        <f t="shared" si="45"/>
        <v>0</v>
      </c>
      <c r="EL37" s="22">
        <f>$G37*EJ37</f>
        <v>0</v>
      </c>
      <c r="EM37" s="22"/>
      <c r="EN37" s="22">
        <f t="shared" si="46"/>
        <v>0</v>
      </c>
      <c r="EO37" s="22">
        <f>$G37*EM37</f>
        <v>0</v>
      </c>
    </row>
    <row r="38" spans="1:145">
      <c r="A38" s="15">
        <v>33</v>
      </c>
      <c r="B38" s="15" t="s">
        <v>544</v>
      </c>
      <c r="C38" s="16" t="s">
        <v>414</v>
      </c>
      <c r="D38" s="15" t="s">
        <v>545</v>
      </c>
      <c r="E38" s="15" t="s">
        <v>416</v>
      </c>
      <c r="F38" s="19">
        <f t="shared" si="0"/>
        <v>1</v>
      </c>
      <c r="G38" s="20"/>
      <c r="H38" s="21"/>
      <c r="I38" s="22">
        <f t="shared" ref="I38:I69" si="231">H38*$B$79</f>
        <v>0</v>
      </c>
      <c r="J38" s="22">
        <f t="shared" ref="J38:J41" si="232">$G38*H38</f>
        <v>0</v>
      </c>
      <c r="K38" s="22"/>
      <c r="L38" s="22">
        <f t="shared" ref="L38:L69" si="233">K38*$B$80</f>
        <v>0</v>
      </c>
      <c r="M38" s="22">
        <f t="shared" ref="M38:M41" si="234">$G38*K38</f>
        <v>0</v>
      </c>
      <c r="N38" s="22"/>
      <c r="O38" s="22">
        <f t="shared" ref="O38:O69" si="235">N38*$B$81</f>
        <v>0</v>
      </c>
      <c r="P38" s="22">
        <f t="shared" ref="P38:P41" si="236">$G38*N38</f>
        <v>0</v>
      </c>
      <c r="Q38" s="22"/>
      <c r="R38" s="22">
        <f t="shared" ref="R38:R69" si="237">Q38*$B$82</f>
        <v>0</v>
      </c>
      <c r="S38" s="22">
        <f t="shared" ref="S38:S41" si="238">$G38*Q38</f>
        <v>0</v>
      </c>
      <c r="T38" s="22"/>
      <c r="U38" s="22">
        <f t="shared" ref="U38:U69" si="239">T38*$B$83</f>
        <v>0</v>
      </c>
      <c r="V38" s="22">
        <f t="shared" ref="V38:V41" si="240">$G38*T38</f>
        <v>0</v>
      </c>
      <c r="W38" s="22"/>
      <c r="X38" s="22">
        <f t="shared" ref="X38:X69" si="241">W38*$B$84</f>
        <v>0</v>
      </c>
      <c r="Y38" s="22">
        <f t="shared" ref="Y38:Y41" si="242">$G38*W38</f>
        <v>0</v>
      </c>
      <c r="Z38" s="22"/>
      <c r="AA38" s="22">
        <f t="shared" ref="AA38:AA69" si="243">Z38*$B$85</f>
        <v>0</v>
      </c>
      <c r="AB38" s="22">
        <f t="shared" ref="AB38:AB41" si="244">$G38*Z38</f>
        <v>0</v>
      </c>
      <c r="AC38" s="22">
        <v>1</v>
      </c>
      <c r="AD38" s="22">
        <f t="shared" ref="AD38:AD69" si="245">AC38*$B$86</f>
        <v>1</v>
      </c>
      <c r="AE38" s="22">
        <f t="shared" ref="AE38:AE41" si="246">$G38*AC38</f>
        <v>0</v>
      </c>
      <c r="AF38" s="22"/>
      <c r="AG38" s="22">
        <f t="shared" ref="AG38:AG69" si="247">AF38*$B$87</f>
        <v>0</v>
      </c>
      <c r="AH38" s="22">
        <f t="shared" ref="AH38:AH41" si="248">$G38*AF38</f>
        <v>0</v>
      </c>
      <c r="AI38" s="22"/>
      <c r="AJ38" s="22">
        <f t="shared" ref="AJ38:AJ69" si="249">AI38*$B$88</f>
        <v>0</v>
      </c>
      <c r="AK38" s="22">
        <f t="shared" ref="AK38:AK41" si="250">$G38*AI38</f>
        <v>0</v>
      </c>
      <c r="AL38" s="22"/>
      <c r="AM38" s="22">
        <f t="shared" ref="AM38:AM69" si="251">AL38*$B$89</f>
        <v>0</v>
      </c>
      <c r="AN38" s="22">
        <f t="shared" ref="AN38:AN41" si="252">$G38*AL38</f>
        <v>0</v>
      </c>
      <c r="AO38" s="22"/>
      <c r="AP38" s="22">
        <f t="shared" ref="AP38:AP69" si="253">AO38*$B$90</f>
        <v>0</v>
      </c>
      <c r="AQ38" s="22">
        <f t="shared" ref="AQ38:AQ41" si="254">$G38*AO38</f>
        <v>0</v>
      </c>
      <c r="AR38" s="22"/>
      <c r="AS38" s="22">
        <f t="shared" ref="AS38:AS69" si="255">AR38*$B$91</f>
        <v>0</v>
      </c>
      <c r="AT38" s="22">
        <f t="shared" ref="AT38:AT41" si="256">$G38*AR38</f>
        <v>0</v>
      </c>
      <c r="AU38" s="22"/>
      <c r="AV38" s="22">
        <f t="shared" ref="AV38:AV69" si="257">AU38*$B$92</f>
        <v>0</v>
      </c>
      <c r="AW38" s="22">
        <f t="shared" ref="AW38:AW41" si="258">$G38*AU38</f>
        <v>0</v>
      </c>
      <c r="AX38" s="22"/>
      <c r="AY38" s="22">
        <f t="shared" ref="AY38:AY69" si="259">AX38*$B$93</f>
        <v>0</v>
      </c>
      <c r="AZ38" s="22">
        <f t="shared" ref="AZ38:AZ41" si="260">$G38*AX38</f>
        <v>0</v>
      </c>
      <c r="BA38" s="22"/>
      <c r="BB38" s="22">
        <f t="shared" ref="BB38:BB69" si="261">BA38*$B$94</f>
        <v>0</v>
      </c>
      <c r="BC38" s="22">
        <f t="shared" ref="BC38:BC41" si="262">$G38*BA38</f>
        <v>0</v>
      </c>
      <c r="BD38" s="22"/>
      <c r="BE38" s="22">
        <f t="shared" ref="BE38:BE69" si="263">BD38*$B$95</f>
        <v>0</v>
      </c>
      <c r="BF38" s="22">
        <f t="shared" ref="BF38:BF41" si="264">$G38*BD38</f>
        <v>0</v>
      </c>
      <c r="BG38" s="22"/>
      <c r="BH38" s="22">
        <f t="shared" ref="BH38:BH69" si="265">BG38*$B$96</f>
        <v>0</v>
      </c>
      <c r="BI38" s="22">
        <f t="shared" ref="BI38:BI41" si="266">$G38*BG38</f>
        <v>0</v>
      </c>
      <c r="BJ38" s="22"/>
      <c r="BK38" s="22">
        <f t="shared" ref="BK38:BK69" si="267">BJ38*$B$97</f>
        <v>0</v>
      </c>
      <c r="BL38" s="22">
        <f t="shared" ref="BL38:BL41" si="268">$G38*BJ38</f>
        <v>0</v>
      </c>
      <c r="BM38" s="22"/>
      <c r="BN38" s="22">
        <f t="shared" ref="BN38:BN69" si="269">BM38*$B$98</f>
        <v>0</v>
      </c>
      <c r="BO38" s="22">
        <f t="shared" ref="BO38:BO41" si="270">$G38*BM38</f>
        <v>0</v>
      </c>
      <c r="BP38" s="22"/>
      <c r="BQ38" s="22">
        <f t="shared" ref="BQ38:BQ69" si="271">BP38*$B$99</f>
        <v>0</v>
      </c>
      <c r="BR38" s="22">
        <f t="shared" ref="BR38:BR41" si="272">$G38*BP38</f>
        <v>0</v>
      </c>
      <c r="BS38" s="22"/>
      <c r="BT38" s="22">
        <f t="shared" ref="BT38:BT69" si="273">BS38*$B$100</f>
        <v>0</v>
      </c>
      <c r="BU38" s="22">
        <f t="shared" ref="BU38:BU41" si="274">$G38*BS38</f>
        <v>0</v>
      </c>
      <c r="BV38" s="22"/>
      <c r="BW38" s="22">
        <f t="shared" ref="BW38:BW69" si="275">BV38*$B$101</f>
        <v>0</v>
      </c>
      <c r="BX38" s="22">
        <f t="shared" ref="BX38:BX41" si="276">$G38*BV38</f>
        <v>0</v>
      </c>
      <c r="BY38" s="22"/>
      <c r="BZ38" s="22">
        <f t="shared" ref="BZ38:BZ69" si="277">BY38*$B$102</f>
        <v>0</v>
      </c>
      <c r="CA38" s="22">
        <f t="shared" ref="CA38:CA41" si="278">$G38*BY38</f>
        <v>0</v>
      </c>
      <c r="CB38" s="22"/>
      <c r="CC38" s="22">
        <f t="shared" ref="CC38:CC69" si="279">CB38*$B$103</f>
        <v>0</v>
      </c>
      <c r="CD38" s="22">
        <f t="shared" ref="CD38:CD41" si="280">$G38*CB38</f>
        <v>0</v>
      </c>
      <c r="CE38" s="22"/>
      <c r="CF38" s="22">
        <f t="shared" ref="CF38:CF69" si="281">CE38*$B$104</f>
        <v>0</v>
      </c>
      <c r="CG38" s="22">
        <f t="shared" ref="CG38:CG41" si="282">$G38*CE38</f>
        <v>0</v>
      </c>
      <c r="CH38" s="22"/>
      <c r="CI38" s="22">
        <f t="shared" ref="CI38:CI69" si="283">CH38*$B$105</f>
        <v>0</v>
      </c>
      <c r="CJ38" s="22">
        <f t="shared" ref="CJ38:CJ41" si="284">$G38*CH38</f>
        <v>0</v>
      </c>
      <c r="CK38" s="22"/>
      <c r="CL38" s="22">
        <f t="shared" ref="CL38:CL69" si="285">CK38*$B$106</f>
        <v>0</v>
      </c>
      <c r="CM38" s="22">
        <f t="shared" ref="CM38:CM41" si="286">$G38*CK38</f>
        <v>0</v>
      </c>
      <c r="CN38" s="22"/>
      <c r="CO38" s="22">
        <f t="shared" ref="CO38:CO69" si="287">CN38*$B$107</f>
        <v>0</v>
      </c>
      <c r="CP38" s="22">
        <f t="shared" ref="CP38:CP41" si="288">$G38*CN38</f>
        <v>0</v>
      </c>
      <c r="CQ38" s="22"/>
      <c r="CR38" s="22">
        <f t="shared" ref="CR38:CR69" si="289">CQ38*$B$108</f>
        <v>0</v>
      </c>
      <c r="CS38" s="22">
        <f t="shared" ref="CS38:CS41" si="290">$G38*CQ38</f>
        <v>0</v>
      </c>
      <c r="CT38" s="22"/>
      <c r="CU38" s="22">
        <f t="shared" ref="CU38:CU69" si="291">CT38*$B$109</f>
        <v>0</v>
      </c>
      <c r="CV38" s="22">
        <f t="shared" ref="CV38:CV41" si="292">$G38*CT38</f>
        <v>0</v>
      </c>
      <c r="CW38" s="22"/>
      <c r="CX38" s="22">
        <f t="shared" ref="CX38:CX69" si="293">CW38*$B$110</f>
        <v>0</v>
      </c>
      <c r="CY38" s="22">
        <f t="shared" ref="CY38:CY41" si="294">$G38*CW38</f>
        <v>0</v>
      </c>
      <c r="CZ38" s="22"/>
      <c r="DA38" s="22">
        <f t="shared" ref="DA38:DA69" si="295">CZ38*$B$111</f>
        <v>0</v>
      </c>
      <c r="DB38" s="22">
        <f t="shared" ref="DB38:DB41" si="296">$G38*CZ38</f>
        <v>0</v>
      </c>
      <c r="DC38" s="22"/>
      <c r="DD38" s="22">
        <f t="shared" ref="DD38:DD69" si="297">DC38*$B$112</f>
        <v>0</v>
      </c>
      <c r="DE38" s="22">
        <f t="shared" ref="DE38:DE41" si="298">$G38*DC38</f>
        <v>0</v>
      </c>
      <c r="DF38" s="22"/>
      <c r="DG38" s="22">
        <f t="shared" ref="DG38:DG69" si="299">DF38*$B$113</f>
        <v>0</v>
      </c>
      <c r="DH38" s="22">
        <f t="shared" ref="DH38:DH41" si="300">$G38*DF38</f>
        <v>0</v>
      </c>
      <c r="DI38" s="22"/>
      <c r="DJ38" s="22">
        <f t="shared" ref="DJ38:DJ69" si="301">DI38*$B$114</f>
        <v>0</v>
      </c>
      <c r="DK38" s="22">
        <f t="shared" ref="DK38:DK41" si="302">$G38*DI38</f>
        <v>0</v>
      </c>
      <c r="DL38" s="22"/>
      <c r="DM38" s="22">
        <f t="shared" ref="DM38:DM69" si="303">DL38*$B$115</f>
        <v>0</v>
      </c>
      <c r="DN38" s="22">
        <f t="shared" ref="DN38:DN41" si="304">$G38*DL38</f>
        <v>0</v>
      </c>
      <c r="DO38" s="22"/>
      <c r="DP38" s="22">
        <f t="shared" ref="DP38:DP69" si="305">DO38*$B$116</f>
        <v>0</v>
      </c>
      <c r="DQ38" s="22">
        <f t="shared" ref="DQ38:DQ41" si="306">$G38*DO38</f>
        <v>0</v>
      </c>
      <c r="DR38" s="22"/>
      <c r="DS38" s="22">
        <f t="shared" ref="DS38:DS69" si="307">DR38*$B$117</f>
        <v>0</v>
      </c>
      <c r="DT38" s="22">
        <f t="shared" ref="DT38:DT41" si="308">$G38*DR38</f>
        <v>0</v>
      </c>
      <c r="DU38" s="22"/>
      <c r="DV38" s="22">
        <f t="shared" ref="DV38:DV69" si="309">DU38*$B$118</f>
        <v>0</v>
      </c>
      <c r="DW38" s="22">
        <f t="shared" ref="DW38:DW41" si="310">$G38*DU38</f>
        <v>0</v>
      </c>
      <c r="DX38" s="22"/>
      <c r="DY38" s="22">
        <f t="shared" ref="DY38:DY69" si="311">DX38*$B$119</f>
        <v>0</v>
      </c>
      <c r="DZ38" s="22">
        <f t="shared" ref="DZ38:DZ41" si="312">$G38*DX38</f>
        <v>0</v>
      </c>
      <c r="EA38" s="22"/>
      <c r="EB38" s="22">
        <f t="shared" ref="EB38:EB69" si="313">EA38*$B$120</f>
        <v>0</v>
      </c>
      <c r="EC38" s="22">
        <f t="shared" ref="EC38:EC41" si="314">$G38*EA38</f>
        <v>0</v>
      </c>
      <c r="ED38" s="22"/>
      <c r="EE38" s="22">
        <f t="shared" ref="EE38:EE69" si="315">ED38*$B$121</f>
        <v>0</v>
      </c>
      <c r="EF38" s="22">
        <f t="shared" ref="EF38:EF41" si="316">$G38*ED38</f>
        <v>0</v>
      </c>
      <c r="EG38" s="22"/>
      <c r="EH38" s="22">
        <f t="shared" ref="EH38:EH69" si="317">EG38*$B$122</f>
        <v>0</v>
      </c>
      <c r="EI38" s="22">
        <f t="shared" ref="EI38:EI41" si="318">$G38*EG38</f>
        <v>0</v>
      </c>
      <c r="EJ38" s="22"/>
      <c r="EK38" s="22">
        <f t="shared" ref="EK38:EK69" si="319">EJ38*$B$123</f>
        <v>0</v>
      </c>
      <c r="EL38" s="22">
        <f t="shared" ref="EL38:EL41" si="320">$G38*EJ38</f>
        <v>0</v>
      </c>
      <c r="EM38" s="22"/>
      <c r="EN38" s="22">
        <f t="shared" ref="EN38:EN69" si="321">EM38*$B$124</f>
        <v>0</v>
      </c>
      <c r="EO38" s="22">
        <f t="shared" ref="EO38:EO41" si="322">$G38*EM38</f>
        <v>0</v>
      </c>
    </row>
    <row r="39" spans="1:145">
      <c r="A39" s="15">
        <v>34</v>
      </c>
      <c r="B39" s="15" t="s">
        <v>546</v>
      </c>
      <c r="C39" s="16" t="s">
        <v>414</v>
      </c>
      <c r="D39" s="15" t="s">
        <v>547</v>
      </c>
      <c r="E39" s="15" t="s">
        <v>380</v>
      </c>
      <c r="F39" s="19">
        <f t="shared" si="0"/>
        <v>2</v>
      </c>
      <c r="G39" s="20"/>
      <c r="H39" s="21"/>
      <c r="I39" s="22">
        <f t="shared" si="231"/>
        <v>0</v>
      </c>
      <c r="J39" s="22">
        <f t="shared" si="232"/>
        <v>0</v>
      </c>
      <c r="K39" s="22"/>
      <c r="L39" s="22">
        <f t="shared" si="233"/>
        <v>0</v>
      </c>
      <c r="M39" s="22">
        <f t="shared" si="234"/>
        <v>0</v>
      </c>
      <c r="N39" s="22"/>
      <c r="O39" s="22">
        <f t="shared" si="235"/>
        <v>0</v>
      </c>
      <c r="P39" s="22">
        <f t="shared" si="236"/>
        <v>0</v>
      </c>
      <c r="Q39" s="22"/>
      <c r="R39" s="22">
        <f t="shared" si="237"/>
        <v>0</v>
      </c>
      <c r="S39" s="22">
        <f t="shared" si="238"/>
        <v>0</v>
      </c>
      <c r="T39" s="22"/>
      <c r="U39" s="22">
        <f t="shared" si="239"/>
        <v>0</v>
      </c>
      <c r="V39" s="22">
        <f t="shared" si="240"/>
        <v>0</v>
      </c>
      <c r="W39" s="22"/>
      <c r="X39" s="22">
        <f t="shared" si="241"/>
        <v>0</v>
      </c>
      <c r="Y39" s="22">
        <f t="shared" si="242"/>
        <v>0</v>
      </c>
      <c r="Z39" s="22"/>
      <c r="AA39" s="22">
        <f t="shared" si="243"/>
        <v>0</v>
      </c>
      <c r="AB39" s="22">
        <f t="shared" si="244"/>
        <v>0</v>
      </c>
      <c r="AC39" s="22">
        <v>1</v>
      </c>
      <c r="AD39" s="22">
        <f t="shared" si="245"/>
        <v>1</v>
      </c>
      <c r="AE39" s="22">
        <f t="shared" si="246"/>
        <v>0</v>
      </c>
      <c r="AF39" s="22"/>
      <c r="AG39" s="22">
        <f t="shared" si="247"/>
        <v>0</v>
      </c>
      <c r="AH39" s="22">
        <f t="shared" si="248"/>
        <v>0</v>
      </c>
      <c r="AI39" s="22">
        <v>1</v>
      </c>
      <c r="AJ39" s="22">
        <f t="shared" si="249"/>
        <v>1</v>
      </c>
      <c r="AK39" s="22">
        <f t="shared" si="250"/>
        <v>0</v>
      </c>
      <c r="AL39" s="22"/>
      <c r="AM39" s="22">
        <f t="shared" si="251"/>
        <v>0</v>
      </c>
      <c r="AN39" s="22">
        <f t="shared" si="252"/>
        <v>0</v>
      </c>
      <c r="AO39" s="22"/>
      <c r="AP39" s="22">
        <f t="shared" si="253"/>
        <v>0</v>
      </c>
      <c r="AQ39" s="22">
        <f t="shared" si="254"/>
        <v>0</v>
      </c>
      <c r="AR39" s="22"/>
      <c r="AS39" s="22">
        <f t="shared" si="255"/>
        <v>0</v>
      </c>
      <c r="AT39" s="22">
        <f t="shared" si="256"/>
        <v>0</v>
      </c>
      <c r="AU39" s="22"/>
      <c r="AV39" s="22">
        <f t="shared" si="257"/>
        <v>0</v>
      </c>
      <c r="AW39" s="22">
        <f t="shared" si="258"/>
        <v>0</v>
      </c>
      <c r="AX39" s="22"/>
      <c r="AY39" s="22">
        <f t="shared" si="259"/>
        <v>0</v>
      </c>
      <c r="AZ39" s="22">
        <f t="shared" si="260"/>
        <v>0</v>
      </c>
      <c r="BA39" s="22"/>
      <c r="BB39" s="22">
        <f t="shared" si="261"/>
        <v>0</v>
      </c>
      <c r="BC39" s="22">
        <f t="shared" si="262"/>
        <v>0</v>
      </c>
      <c r="BD39" s="22"/>
      <c r="BE39" s="22">
        <f t="shared" si="263"/>
        <v>0</v>
      </c>
      <c r="BF39" s="22">
        <f t="shared" si="264"/>
        <v>0</v>
      </c>
      <c r="BG39" s="22"/>
      <c r="BH39" s="22">
        <f t="shared" si="265"/>
        <v>0</v>
      </c>
      <c r="BI39" s="22">
        <f t="shared" si="266"/>
        <v>0</v>
      </c>
      <c r="BJ39" s="22"/>
      <c r="BK39" s="22">
        <f t="shared" si="267"/>
        <v>0</v>
      </c>
      <c r="BL39" s="22">
        <f t="shared" si="268"/>
        <v>0</v>
      </c>
      <c r="BM39" s="22"/>
      <c r="BN39" s="22">
        <f t="shared" si="269"/>
        <v>0</v>
      </c>
      <c r="BO39" s="22">
        <f t="shared" si="270"/>
        <v>0</v>
      </c>
      <c r="BP39" s="22"/>
      <c r="BQ39" s="22">
        <f t="shared" si="271"/>
        <v>0</v>
      </c>
      <c r="BR39" s="22">
        <f t="shared" si="272"/>
        <v>0</v>
      </c>
      <c r="BS39" s="22"/>
      <c r="BT39" s="22">
        <f t="shared" si="273"/>
        <v>0</v>
      </c>
      <c r="BU39" s="22">
        <f t="shared" si="274"/>
        <v>0</v>
      </c>
      <c r="BV39" s="22"/>
      <c r="BW39" s="22">
        <f t="shared" si="275"/>
        <v>0</v>
      </c>
      <c r="BX39" s="22">
        <f t="shared" si="276"/>
        <v>0</v>
      </c>
      <c r="BY39" s="22"/>
      <c r="BZ39" s="22">
        <f t="shared" si="277"/>
        <v>0</v>
      </c>
      <c r="CA39" s="22">
        <f t="shared" si="278"/>
        <v>0</v>
      </c>
      <c r="CB39" s="22"/>
      <c r="CC39" s="22">
        <f t="shared" si="279"/>
        <v>0</v>
      </c>
      <c r="CD39" s="22">
        <f t="shared" si="280"/>
        <v>0</v>
      </c>
      <c r="CE39" s="22"/>
      <c r="CF39" s="22">
        <f t="shared" si="281"/>
        <v>0</v>
      </c>
      <c r="CG39" s="22">
        <f t="shared" si="282"/>
        <v>0</v>
      </c>
      <c r="CH39" s="22"/>
      <c r="CI39" s="22">
        <f t="shared" si="283"/>
        <v>0</v>
      </c>
      <c r="CJ39" s="22">
        <f t="shared" si="284"/>
        <v>0</v>
      </c>
      <c r="CK39" s="22"/>
      <c r="CL39" s="22">
        <f t="shared" si="285"/>
        <v>0</v>
      </c>
      <c r="CM39" s="22">
        <f t="shared" si="286"/>
        <v>0</v>
      </c>
      <c r="CN39" s="22"/>
      <c r="CO39" s="22">
        <f t="shared" si="287"/>
        <v>0</v>
      </c>
      <c r="CP39" s="22">
        <f t="shared" si="288"/>
        <v>0</v>
      </c>
      <c r="CQ39" s="22"/>
      <c r="CR39" s="22">
        <f t="shared" si="289"/>
        <v>0</v>
      </c>
      <c r="CS39" s="22">
        <f t="shared" si="290"/>
        <v>0</v>
      </c>
      <c r="CT39" s="22"/>
      <c r="CU39" s="22">
        <f t="shared" si="291"/>
        <v>0</v>
      </c>
      <c r="CV39" s="22">
        <f t="shared" si="292"/>
        <v>0</v>
      </c>
      <c r="CW39" s="22"/>
      <c r="CX39" s="22">
        <f t="shared" si="293"/>
        <v>0</v>
      </c>
      <c r="CY39" s="22">
        <f t="shared" si="294"/>
        <v>0</v>
      </c>
      <c r="CZ39" s="22"/>
      <c r="DA39" s="22">
        <f t="shared" si="295"/>
        <v>0</v>
      </c>
      <c r="DB39" s="22">
        <f t="shared" si="296"/>
        <v>0</v>
      </c>
      <c r="DC39" s="22"/>
      <c r="DD39" s="22">
        <f t="shared" si="297"/>
        <v>0</v>
      </c>
      <c r="DE39" s="22">
        <f t="shared" si="298"/>
        <v>0</v>
      </c>
      <c r="DF39" s="22"/>
      <c r="DG39" s="22">
        <f t="shared" si="299"/>
        <v>0</v>
      </c>
      <c r="DH39" s="22">
        <f t="shared" si="300"/>
        <v>0</v>
      </c>
      <c r="DI39" s="22"/>
      <c r="DJ39" s="22">
        <f t="shared" si="301"/>
        <v>0</v>
      </c>
      <c r="DK39" s="22">
        <f t="shared" si="302"/>
        <v>0</v>
      </c>
      <c r="DL39" s="22"/>
      <c r="DM39" s="22">
        <f t="shared" si="303"/>
        <v>0</v>
      </c>
      <c r="DN39" s="22">
        <f t="shared" si="304"/>
        <v>0</v>
      </c>
      <c r="DO39" s="22"/>
      <c r="DP39" s="22">
        <f t="shared" si="305"/>
        <v>0</v>
      </c>
      <c r="DQ39" s="22">
        <f t="shared" si="306"/>
        <v>0</v>
      </c>
      <c r="DR39" s="22"/>
      <c r="DS39" s="22">
        <f t="shared" si="307"/>
        <v>0</v>
      </c>
      <c r="DT39" s="22">
        <f t="shared" si="308"/>
        <v>0</v>
      </c>
      <c r="DU39" s="22"/>
      <c r="DV39" s="22">
        <f t="shared" si="309"/>
        <v>0</v>
      </c>
      <c r="DW39" s="22">
        <f t="shared" si="310"/>
        <v>0</v>
      </c>
      <c r="DX39" s="22"/>
      <c r="DY39" s="22">
        <f t="shared" si="311"/>
        <v>0</v>
      </c>
      <c r="DZ39" s="22">
        <f t="shared" si="312"/>
        <v>0</v>
      </c>
      <c r="EA39" s="22"/>
      <c r="EB39" s="22">
        <f t="shared" si="313"/>
        <v>0</v>
      </c>
      <c r="EC39" s="22">
        <f t="shared" si="314"/>
        <v>0</v>
      </c>
      <c r="ED39" s="22"/>
      <c r="EE39" s="22">
        <f t="shared" si="315"/>
        <v>0</v>
      </c>
      <c r="EF39" s="22">
        <f t="shared" si="316"/>
        <v>0</v>
      </c>
      <c r="EG39" s="22"/>
      <c r="EH39" s="22">
        <f t="shared" si="317"/>
        <v>0</v>
      </c>
      <c r="EI39" s="22">
        <f t="shared" si="318"/>
        <v>0</v>
      </c>
      <c r="EJ39" s="22"/>
      <c r="EK39" s="22">
        <f t="shared" si="319"/>
        <v>0</v>
      </c>
      <c r="EL39" s="22">
        <f t="shared" si="320"/>
        <v>0</v>
      </c>
      <c r="EM39" s="22"/>
      <c r="EN39" s="22">
        <f t="shared" si="321"/>
        <v>0</v>
      </c>
      <c r="EO39" s="22">
        <f t="shared" si="322"/>
        <v>0</v>
      </c>
    </row>
    <row r="40" spans="1:145">
      <c r="A40" s="15">
        <v>35</v>
      </c>
      <c r="B40" s="15" t="s">
        <v>548</v>
      </c>
      <c r="C40" s="16" t="s">
        <v>374</v>
      </c>
      <c r="D40" s="16" t="s">
        <v>549</v>
      </c>
      <c r="E40" s="15" t="s">
        <v>376</v>
      </c>
      <c r="F40" s="19">
        <f t="shared" si="0"/>
        <v>5</v>
      </c>
      <c r="G40" s="20"/>
      <c r="H40" s="21"/>
      <c r="I40" s="22">
        <f t="shared" si="231"/>
        <v>0</v>
      </c>
      <c r="J40" s="22">
        <f t="shared" si="232"/>
        <v>0</v>
      </c>
      <c r="K40" s="22"/>
      <c r="L40" s="22">
        <f t="shared" si="233"/>
        <v>0</v>
      </c>
      <c r="M40" s="22">
        <f t="shared" si="234"/>
        <v>0</v>
      </c>
      <c r="N40" s="22"/>
      <c r="O40" s="22">
        <f t="shared" si="235"/>
        <v>0</v>
      </c>
      <c r="P40" s="22">
        <f t="shared" si="236"/>
        <v>0</v>
      </c>
      <c r="Q40" s="22"/>
      <c r="R40" s="22">
        <f t="shared" si="237"/>
        <v>0</v>
      </c>
      <c r="S40" s="22">
        <f t="shared" si="238"/>
        <v>0</v>
      </c>
      <c r="T40" s="22"/>
      <c r="U40" s="22">
        <f t="shared" si="239"/>
        <v>0</v>
      </c>
      <c r="V40" s="22">
        <f t="shared" si="240"/>
        <v>0</v>
      </c>
      <c r="W40" s="22"/>
      <c r="X40" s="22">
        <f t="shared" si="241"/>
        <v>0</v>
      </c>
      <c r="Y40" s="22">
        <f t="shared" si="242"/>
        <v>0</v>
      </c>
      <c r="Z40" s="22"/>
      <c r="AA40" s="22">
        <f t="shared" si="243"/>
        <v>0</v>
      </c>
      <c r="AB40" s="22">
        <f t="shared" si="244"/>
        <v>0</v>
      </c>
      <c r="AC40" s="22">
        <v>1</v>
      </c>
      <c r="AD40" s="22">
        <f t="shared" si="245"/>
        <v>1</v>
      </c>
      <c r="AE40" s="22">
        <f t="shared" si="246"/>
        <v>0</v>
      </c>
      <c r="AF40" s="22">
        <v>1</v>
      </c>
      <c r="AG40" s="22">
        <f t="shared" si="247"/>
        <v>4</v>
      </c>
      <c r="AH40" s="22">
        <f t="shared" si="248"/>
        <v>0</v>
      </c>
      <c r="AI40" s="22"/>
      <c r="AJ40" s="22">
        <f t="shared" si="249"/>
        <v>0</v>
      </c>
      <c r="AK40" s="22">
        <f t="shared" si="250"/>
        <v>0</v>
      </c>
      <c r="AL40" s="22"/>
      <c r="AM40" s="22">
        <f t="shared" si="251"/>
        <v>0</v>
      </c>
      <c r="AN40" s="22">
        <f t="shared" si="252"/>
        <v>0</v>
      </c>
      <c r="AO40" s="22"/>
      <c r="AP40" s="22">
        <f t="shared" si="253"/>
        <v>0</v>
      </c>
      <c r="AQ40" s="22">
        <f t="shared" si="254"/>
        <v>0</v>
      </c>
      <c r="AR40" s="22"/>
      <c r="AS40" s="22">
        <f t="shared" si="255"/>
        <v>0</v>
      </c>
      <c r="AT40" s="22">
        <f t="shared" si="256"/>
        <v>0</v>
      </c>
      <c r="AU40" s="22"/>
      <c r="AV40" s="22">
        <f t="shared" si="257"/>
        <v>0</v>
      </c>
      <c r="AW40" s="22">
        <f t="shared" si="258"/>
        <v>0</v>
      </c>
      <c r="AX40" s="22"/>
      <c r="AY40" s="22">
        <f t="shared" si="259"/>
        <v>0</v>
      </c>
      <c r="AZ40" s="22">
        <f t="shared" si="260"/>
        <v>0</v>
      </c>
      <c r="BA40" s="22"/>
      <c r="BB40" s="22">
        <f t="shared" si="261"/>
        <v>0</v>
      </c>
      <c r="BC40" s="22">
        <f t="shared" si="262"/>
        <v>0</v>
      </c>
      <c r="BD40" s="22"/>
      <c r="BE40" s="22">
        <f t="shared" si="263"/>
        <v>0</v>
      </c>
      <c r="BF40" s="22">
        <f t="shared" si="264"/>
        <v>0</v>
      </c>
      <c r="BG40" s="22"/>
      <c r="BH40" s="22">
        <f t="shared" si="265"/>
        <v>0</v>
      </c>
      <c r="BI40" s="22">
        <f t="shared" si="266"/>
        <v>0</v>
      </c>
      <c r="BJ40" s="22"/>
      <c r="BK40" s="22">
        <f t="shared" si="267"/>
        <v>0</v>
      </c>
      <c r="BL40" s="22">
        <f t="shared" si="268"/>
        <v>0</v>
      </c>
      <c r="BM40" s="22"/>
      <c r="BN40" s="22">
        <f t="shared" si="269"/>
        <v>0</v>
      </c>
      <c r="BO40" s="22">
        <f t="shared" si="270"/>
        <v>0</v>
      </c>
      <c r="BP40" s="22"/>
      <c r="BQ40" s="22">
        <f t="shared" si="271"/>
        <v>0</v>
      </c>
      <c r="BR40" s="22">
        <f t="shared" si="272"/>
        <v>0</v>
      </c>
      <c r="BS40" s="22"/>
      <c r="BT40" s="22">
        <f t="shared" si="273"/>
        <v>0</v>
      </c>
      <c r="BU40" s="22">
        <f t="shared" si="274"/>
        <v>0</v>
      </c>
      <c r="BV40" s="22"/>
      <c r="BW40" s="22">
        <f t="shared" si="275"/>
        <v>0</v>
      </c>
      <c r="BX40" s="22">
        <f t="shared" si="276"/>
        <v>0</v>
      </c>
      <c r="BY40" s="22"/>
      <c r="BZ40" s="22">
        <f t="shared" si="277"/>
        <v>0</v>
      </c>
      <c r="CA40" s="22">
        <f t="shared" si="278"/>
        <v>0</v>
      </c>
      <c r="CB40" s="22"/>
      <c r="CC40" s="22">
        <f t="shared" si="279"/>
        <v>0</v>
      </c>
      <c r="CD40" s="22">
        <f t="shared" si="280"/>
        <v>0</v>
      </c>
      <c r="CE40" s="22"/>
      <c r="CF40" s="22">
        <f t="shared" si="281"/>
        <v>0</v>
      </c>
      <c r="CG40" s="22">
        <f t="shared" si="282"/>
        <v>0</v>
      </c>
      <c r="CH40" s="22"/>
      <c r="CI40" s="22">
        <f t="shared" si="283"/>
        <v>0</v>
      </c>
      <c r="CJ40" s="22">
        <f t="shared" si="284"/>
        <v>0</v>
      </c>
      <c r="CK40" s="22"/>
      <c r="CL40" s="22">
        <f t="shared" si="285"/>
        <v>0</v>
      </c>
      <c r="CM40" s="22">
        <f t="shared" si="286"/>
        <v>0</v>
      </c>
      <c r="CN40" s="22"/>
      <c r="CO40" s="22">
        <f t="shared" si="287"/>
        <v>0</v>
      </c>
      <c r="CP40" s="22">
        <f t="shared" si="288"/>
        <v>0</v>
      </c>
      <c r="CQ40" s="22"/>
      <c r="CR40" s="22">
        <f t="shared" si="289"/>
        <v>0</v>
      </c>
      <c r="CS40" s="22">
        <f t="shared" si="290"/>
        <v>0</v>
      </c>
      <c r="CT40" s="22"/>
      <c r="CU40" s="22">
        <f t="shared" si="291"/>
        <v>0</v>
      </c>
      <c r="CV40" s="22">
        <f t="shared" si="292"/>
        <v>0</v>
      </c>
      <c r="CW40" s="22"/>
      <c r="CX40" s="22">
        <f t="shared" si="293"/>
        <v>0</v>
      </c>
      <c r="CY40" s="22">
        <f t="shared" si="294"/>
        <v>0</v>
      </c>
      <c r="CZ40" s="22"/>
      <c r="DA40" s="22">
        <f t="shared" si="295"/>
        <v>0</v>
      </c>
      <c r="DB40" s="22">
        <f t="shared" si="296"/>
        <v>0</v>
      </c>
      <c r="DC40" s="22"/>
      <c r="DD40" s="22">
        <f t="shared" si="297"/>
        <v>0</v>
      </c>
      <c r="DE40" s="22">
        <f t="shared" si="298"/>
        <v>0</v>
      </c>
      <c r="DF40" s="22"/>
      <c r="DG40" s="22">
        <f t="shared" si="299"/>
        <v>0</v>
      </c>
      <c r="DH40" s="22">
        <f t="shared" si="300"/>
        <v>0</v>
      </c>
      <c r="DI40" s="22"/>
      <c r="DJ40" s="22">
        <f t="shared" si="301"/>
        <v>0</v>
      </c>
      <c r="DK40" s="22">
        <f t="shared" si="302"/>
        <v>0</v>
      </c>
      <c r="DL40" s="22"/>
      <c r="DM40" s="22">
        <f t="shared" si="303"/>
        <v>0</v>
      </c>
      <c r="DN40" s="22">
        <f t="shared" si="304"/>
        <v>0</v>
      </c>
      <c r="DO40" s="22"/>
      <c r="DP40" s="22">
        <f t="shared" si="305"/>
        <v>0</v>
      </c>
      <c r="DQ40" s="22">
        <f t="shared" si="306"/>
        <v>0</v>
      </c>
      <c r="DR40" s="22"/>
      <c r="DS40" s="22">
        <f t="shared" si="307"/>
        <v>0</v>
      </c>
      <c r="DT40" s="22">
        <f t="shared" si="308"/>
        <v>0</v>
      </c>
      <c r="DU40" s="22"/>
      <c r="DV40" s="22">
        <f t="shared" si="309"/>
        <v>0</v>
      </c>
      <c r="DW40" s="22">
        <f t="shared" si="310"/>
        <v>0</v>
      </c>
      <c r="DX40" s="22"/>
      <c r="DY40" s="22">
        <f t="shared" si="311"/>
        <v>0</v>
      </c>
      <c r="DZ40" s="22">
        <f t="shared" si="312"/>
        <v>0</v>
      </c>
      <c r="EA40" s="22"/>
      <c r="EB40" s="22">
        <f t="shared" si="313"/>
        <v>0</v>
      </c>
      <c r="EC40" s="22">
        <f t="shared" si="314"/>
        <v>0</v>
      </c>
      <c r="ED40" s="22"/>
      <c r="EE40" s="22">
        <f t="shared" si="315"/>
        <v>0</v>
      </c>
      <c r="EF40" s="22">
        <f t="shared" si="316"/>
        <v>0</v>
      </c>
      <c r="EG40" s="22"/>
      <c r="EH40" s="22">
        <f t="shared" si="317"/>
        <v>0</v>
      </c>
      <c r="EI40" s="22">
        <f t="shared" si="318"/>
        <v>0</v>
      </c>
      <c r="EJ40" s="22"/>
      <c r="EK40" s="22">
        <f t="shared" si="319"/>
        <v>0</v>
      </c>
      <c r="EL40" s="22">
        <f t="shared" si="320"/>
        <v>0</v>
      </c>
      <c r="EM40" s="22"/>
      <c r="EN40" s="22">
        <f t="shared" si="321"/>
        <v>0</v>
      </c>
      <c r="EO40" s="22">
        <f t="shared" si="322"/>
        <v>0</v>
      </c>
    </row>
    <row r="41" spans="1:145">
      <c r="A41" s="15">
        <v>36</v>
      </c>
      <c r="B41" s="15" t="s">
        <v>548</v>
      </c>
      <c r="C41" s="16" t="s">
        <v>374</v>
      </c>
      <c r="D41" s="24" t="s">
        <v>550</v>
      </c>
      <c r="E41" s="15" t="s">
        <v>528</v>
      </c>
      <c r="F41" s="19">
        <f t="shared" si="0"/>
        <v>6</v>
      </c>
      <c r="G41" s="20"/>
      <c r="H41" s="21"/>
      <c r="I41" s="22">
        <f t="shared" si="231"/>
        <v>0</v>
      </c>
      <c r="J41" s="22">
        <f t="shared" si="232"/>
        <v>0</v>
      </c>
      <c r="K41" s="22"/>
      <c r="L41" s="22">
        <f t="shared" si="233"/>
        <v>0</v>
      </c>
      <c r="M41" s="22">
        <f t="shared" si="234"/>
        <v>0</v>
      </c>
      <c r="N41" s="22"/>
      <c r="O41" s="22">
        <f t="shared" si="235"/>
        <v>0</v>
      </c>
      <c r="P41" s="22">
        <f t="shared" si="236"/>
        <v>0</v>
      </c>
      <c r="Q41" s="22"/>
      <c r="R41" s="22">
        <f t="shared" si="237"/>
        <v>0</v>
      </c>
      <c r="S41" s="22">
        <f t="shared" si="238"/>
        <v>0</v>
      </c>
      <c r="T41" s="22"/>
      <c r="U41" s="22">
        <f t="shared" si="239"/>
        <v>0</v>
      </c>
      <c r="V41" s="22">
        <f t="shared" si="240"/>
        <v>0</v>
      </c>
      <c r="W41" s="22"/>
      <c r="X41" s="22">
        <f t="shared" si="241"/>
        <v>0</v>
      </c>
      <c r="Y41" s="22">
        <f t="shared" si="242"/>
        <v>0</v>
      </c>
      <c r="Z41" s="22"/>
      <c r="AA41" s="22">
        <f t="shared" si="243"/>
        <v>0</v>
      </c>
      <c r="AB41" s="22">
        <f t="shared" si="244"/>
        <v>0</v>
      </c>
      <c r="AC41" s="22">
        <v>1</v>
      </c>
      <c r="AD41" s="22">
        <f t="shared" si="245"/>
        <v>1</v>
      </c>
      <c r="AE41" s="22">
        <f t="shared" si="246"/>
        <v>0</v>
      </c>
      <c r="AF41" s="22">
        <v>1</v>
      </c>
      <c r="AG41" s="22">
        <f t="shared" si="247"/>
        <v>4</v>
      </c>
      <c r="AH41" s="22">
        <f t="shared" si="248"/>
        <v>0</v>
      </c>
      <c r="AI41" s="22"/>
      <c r="AJ41" s="22">
        <f t="shared" si="249"/>
        <v>0</v>
      </c>
      <c r="AK41" s="22">
        <f t="shared" si="250"/>
        <v>0</v>
      </c>
      <c r="AL41" s="22"/>
      <c r="AM41" s="22">
        <f t="shared" si="251"/>
        <v>0</v>
      </c>
      <c r="AN41" s="22">
        <f t="shared" si="252"/>
        <v>0</v>
      </c>
      <c r="AO41" s="22"/>
      <c r="AP41" s="22">
        <f t="shared" si="253"/>
        <v>0</v>
      </c>
      <c r="AQ41" s="22">
        <f t="shared" si="254"/>
        <v>0</v>
      </c>
      <c r="AR41" s="22"/>
      <c r="AS41" s="22">
        <f t="shared" si="255"/>
        <v>0</v>
      </c>
      <c r="AT41" s="22">
        <f t="shared" si="256"/>
        <v>0</v>
      </c>
      <c r="AU41" s="22"/>
      <c r="AV41" s="22">
        <f t="shared" si="257"/>
        <v>0</v>
      </c>
      <c r="AW41" s="22">
        <f t="shared" si="258"/>
        <v>0</v>
      </c>
      <c r="AX41" s="22"/>
      <c r="AY41" s="22">
        <f t="shared" si="259"/>
        <v>0</v>
      </c>
      <c r="AZ41" s="22">
        <f t="shared" si="260"/>
        <v>0</v>
      </c>
      <c r="BA41" s="22"/>
      <c r="BB41" s="22">
        <f t="shared" si="261"/>
        <v>0</v>
      </c>
      <c r="BC41" s="22">
        <f t="shared" si="262"/>
        <v>0</v>
      </c>
      <c r="BD41" s="22"/>
      <c r="BE41" s="22">
        <f t="shared" si="263"/>
        <v>0</v>
      </c>
      <c r="BF41" s="22">
        <f t="shared" si="264"/>
        <v>0</v>
      </c>
      <c r="BG41" s="22"/>
      <c r="BH41" s="22">
        <f t="shared" si="265"/>
        <v>0</v>
      </c>
      <c r="BI41" s="22">
        <f t="shared" si="266"/>
        <v>0</v>
      </c>
      <c r="BJ41" s="22"/>
      <c r="BK41" s="22">
        <f t="shared" si="267"/>
        <v>0</v>
      </c>
      <c r="BL41" s="22">
        <f t="shared" si="268"/>
        <v>0</v>
      </c>
      <c r="BM41" s="22"/>
      <c r="BN41" s="22">
        <f t="shared" si="269"/>
        <v>0</v>
      </c>
      <c r="BO41" s="22">
        <f t="shared" si="270"/>
        <v>0</v>
      </c>
      <c r="BP41" s="22"/>
      <c r="BQ41" s="22">
        <f t="shared" si="271"/>
        <v>0</v>
      </c>
      <c r="BR41" s="22">
        <f t="shared" si="272"/>
        <v>0</v>
      </c>
      <c r="BS41" s="22"/>
      <c r="BT41" s="22">
        <f t="shared" si="273"/>
        <v>0</v>
      </c>
      <c r="BU41" s="22">
        <f t="shared" si="274"/>
        <v>0</v>
      </c>
      <c r="BV41" s="22"/>
      <c r="BW41" s="22">
        <f t="shared" si="275"/>
        <v>0</v>
      </c>
      <c r="BX41" s="22">
        <f t="shared" si="276"/>
        <v>0</v>
      </c>
      <c r="BY41" s="22"/>
      <c r="BZ41" s="22">
        <f t="shared" si="277"/>
        <v>0</v>
      </c>
      <c r="CA41" s="22">
        <f t="shared" si="278"/>
        <v>0</v>
      </c>
      <c r="CB41" s="22"/>
      <c r="CC41" s="22">
        <f t="shared" si="279"/>
        <v>0</v>
      </c>
      <c r="CD41" s="22">
        <f t="shared" si="280"/>
        <v>0</v>
      </c>
      <c r="CE41" s="22"/>
      <c r="CF41" s="22">
        <f t="shared" si="281"/>
        <v>0</v>
      </c>
      <c r="CG41" s="22">
        <f t="shared" si="282"/>
        <v>0</v>
      </c>
      <c r="CH41" s="22"/>
      <c r="CI41" s="22">
        <f t="shared" si="283"/>
        <v>0</v>
      </c>
      <c r="CJ41" s="22">
        <f t="shared" si="284"/>
        <v>0</v>
      </c>
      <c r="CK41" s="22"/>
      <c r="CL41" s="22">
        <f t="shared" si="285"/>
        <v>0</v>
      </c>
      <c r="CM41" s="22">
        <f t="shared" si="286"/>
        <v>0</v>
      </c>
      <c r="CN41" s="22"/>
      <c r="CO41" s="22">
        <f t="shared" si="287"/>
        <v>0</v>
      </c>
      <c r="CP41" s="22">
        <f t="shared" si="288"/>
        <v>0</v>
      </c>
      <c r="CQ41" s="22"/>
      <c r="CR41" s="22">
        <f t="shared" si="289"/>
        <v>0</v>
      </c>
      <c r="CS41" s="22">
        <f t="shared" si="290"/>
        <v>0</v>
      </c>
      <c r="CT41" s="22"/>
      <c r="CU41" s="22">
        <f t="shared" si="291"/>
        <v>0</v>
      </c>
      <c r="CV41" s="22">
        <f t="shared" si="292"/>
        <v>0</v>
      </c>
      <c r="CW41" s="22"/>
      <c r="CX41" s="22">
        <f t="shared" si="293"/>
        <v>0</v>
      </c>
      <c r="CY41" s="22">
        <f t="shared" si="294"/>
        <v>0</v>
      </c>
      <c r="CZ41" s="22"/>
      <c r="DA41" s="22">
        <f t="shared" si="295"/>
        <v>0</v>
      </c>
      <c r="DB41" s="22">
        <f t="shared" si="296"/>
        <v>0</v>
      </c>
      <c r="DC41" s="22"/>
      <c r="DD41" s="22">
        <f t="shared" si="297"/>
        <v>0</v>
      </c>
      <c r="DE41" s="22">
        <f t="shared" si="298"/>
        <v>0</v>
      </c>
      <c r="DF41" s="22"/>
      <c r="DG41" s="22">
        <f t="shared" si="299"/>
        <v>0</v>
      </c>
      <c r="DH41" s="22">
        <f t="shared" si="300"/>
        <v>0</v>
      </c>
      <c r="DI41" s="22"/>
      <c r="DJ41" s="22">
        <f t="shared" si="301"/>
        <v>0</v>
      </c>
      <c r="DK41" s="22">
        <f t="shared" si="302"/>
        <v>0</v>
      </c>
      <c r="DL41" s="22"/>
      <c r="DM41" s="22">
        <f t="shared" si="303"/>
        <v>0</v>
      </c>
      <c r="DN41" s="22">
        <f t="shared" si="304"/>
        <v>0</v>
      </c>
      <c r="DO41" s="22"/>
      <c r="DP41" s="22">
        <f t="shared" si="305"/>
        <v>0</v>
      </c>
      <c r="DQ41" s="22">
        <f t="shared" si="306"/>
        <v>0</v>
      </c>
      <c r="DR41" s="22"/>
      <c r="DS41" s="22">
        <f t="shared" si="307"/>
        <v>0</v>
      </c>
      <c r="DT41" s="22">
        <f t="shared" si="308"/>
        <v>0</v>
      </c>
      <c r="DU41" s="22"/>
      <c r="DV41" s="22">
        <f t="shared" si="309"/>
        <v>0</v>
      </c>
      <c r="DW41" s="22">
        <f t="shared" si="310"/>
        <v>0</v>
      </c>
      <c r="DX41" s="22">
        <v>1</v>
      </c>
      <c r="DY41" s="22">
        <f t="shared" si="311"/>
        <v>1</v>
      </c>
      <c r="DZ41" s="22">
        <f t="shared" si="312"/>
        <v>0</v>
      </c>
      <c r="EA41" s="22"/>
      <c r="EB41" s="22">
        <f t="shared" si="313"/>
        <v>0</v>
      </c>
      <c r="EC41" s="22">
        <f t="shared" si="314"/>
        <v>0</v>
      </c>
      <c r="ED41" s="22"/>
      <c r="EE41" s="22">
        <f t="shared" si="315"/>
        <v>0</v>
      </c>
      <c r="EF41" s="22">
        <f t="shared" si="316"/>
        <v>0</v>
      </c>
      <c r="EG41" s="22"/>
      <c r="EH41" s="22">
        <f t="shared" si="317"/>
        <v>0</v>
      </c>
      <c r="EI41" s="22">
        <f t="shared" si="318"/>
        <v>0</v>
      </c>
      <c r="EJ41" s="22"/>
      <c r="EK41" s="22">
        <f t="shared" si="319"/>
        <v>0</v>
      </c>
      <c r="EL41" s="22">
        <f t="shared" si="320"/>
        <v>0</v>
      </c>
      <c r="EM41" s="22"/>
      <c r="EN41" s="22">
        <f t="shared" si="321"/>
        <v>0</v>
      </c>
      <c r="EO41" s="22">
        <f t="shared" si="322"/>
        <v>0</v>
      </c>
    </row>
    <row r="42" spans="1:145">
      <c r="A42" s="15">
        <v>37</v>
      </c>
      <c r="B42" s="15" t="s">
        <v>548</v>
      </c>
      <c r="C42" s="16" t="s">
        <v>374</v>
      </c>
      <c r="D42" s="15" t="s">
        <v>551</v>
      </c>
      <c r="E42" s="15" t="s">
        <v>528</v>
      </c>
      <c r="F42" s="19">
        <f t="shared" si="0"/>
        <v>6</v>
      </c>
      <c r="G42" s="20"/>
      <c r="H42" s="21"/>
      <c r="I42" s="22">
        <f t="shared" si="231"/>
        <v>0</v>
      </c>
      <c r="J42" s="22">
        <f>$G42*H42</f>
        <v>0</v>
      </c>
      <c r="K42" s="22"/>
      <c r="L42" s="22">
        <f t="shared" si="233"/>
        <v>0</v>
      </c>
      <c r="M42" s="22">
        <f>$G42*K42</f>
        <v>0</v>
      </c>
      <c r="N42" s="22"/>
      <c r="O42" s="22">
        <f t="shared" si="235"/>
        <v>0</v>
      </c>
      <c r="P42" s="22">
        <f>$G42*N42</f>
        <v>0</v>
      </c>
      <c r="Q42" s="22"/>
      <c r="R42" s="22">
        <f t="shared" si="237"/>
        <v>0</v>
      </c>
      <c r="S42" s="22">
        <f>$G42*Q42</f>
        <v>0</v>
      </c>
      <c r="T42" s="22"/>
      <c r="U42" s="22">
        <f t="shared" si="239"/>
        <v>0</v>
      </c>
      <c r="V42" s="22">
        <f>$G42*T42</f>
        <v>0</v>
      </c>
      <c r="W42" s="22"/>
      <c r="X42" s="22">
        <f t="shared" si="241"/>
        <v>0</v>
      </c>
      <c r="Y42" s="22">
        <f>$G42*W42</f>
        <v>0</v>
      </c>
      <c r="Z42" s="22"/>
      <c r="AA42" s="22">
        <f t="shared" si="243"/>
        <v>0</v>
      </c>
      <c r="AB42" s="22">
        <f>$G42*Z42</f>
        <v>0</v>
      </c>
      <c r="AC42" s="22">
        <v>1</v>
      </c>
      <c r="AD42" s="22">
        <f t="shared" si="245"/>
        <v>1</v>
      </c>
      <c r="AE42" s="22">
        <f>$G42*AC42</f>
        <v>0</v>
      </c>
      <c r="AF42" s="22">
        <v>1</v>
      </c>
      <c r="AG42" s="22">
        <f t="shared" si="247"/>
        <v>4</v>
      </c>
      <c r="AH42" s="22">
        <f>$G42*AF42</f>
        <v>0</v>
      </c>
      <c r="AI42" s="22"/>
      <c r="AJ42" s="22">
        <f t="shared" si="249"/>
        <v>0</v>
      </c>
      <c r="AK42" s="22">
        <f>$G42*AI42</f>
        <v>0</v>
      </c>
      <c r="AL42" s="22"/>
      <c r="AM42" s="22">
        <f t="shared" si="251"/>
        <v>0</v>
      </c>
      <c r="AN42" s="22">
        <f>$G42*AL42</f>
        <v>0</v>
      </c>
      <c r="AO42" s="22"/>
      <c r="AP42" s="22">
        <f t="shared" si="253"/>
        <v>0</v>
      </c>
      <c r="AQ42" s="22">
        <f>$G42*AO42</f>
        <v>0</v>
      </c>
      <c r="AR42" s="22"/>
      <c r="AS42" s="22">
        <f t="shared" si="255"/>
        <v>0</v>
      </c>
      <c r="AT42" s="22">
        <f>$G42*AR42</f>
        <v>0</v>
      </c>
      <c r="AU42" s="22"/>
      <c r="AV42" s="22">
        <f t="shared" si="257"/>
        <v>0</v>
      </c>
      <c r="AW42" s="22">
        <f>$G42*AU42</f>
        <v>0</v>
      </c>
      <c r="AX42" s="22"/>
      <c r="AY42" s="22">
        <f t="shared" si="259"/>
        <v>0</v>
      </c>
      <c r="AZ42" s="22">
        <f>$G42*AX42</f>
        <v>0</v>
      </c>
      <c r="BA42" s="22"/>
      <c r="BB42" s="22">
        <f t="shared" si="261"/>
        <v>0</v>
      </c>
      <c r="BC42" s="22">
        <f>$G42*BA42</f>
        <v>0</v>
      </c>
      <c r="BD42" s="22"/>
      <c r="BE42" s="22">
        <f t="shared" si="263"/>
        <v>0</v>
      </c>
      <c r="BF42" s="22">
        <f>$G42*BD42</f>
        <v>0</v>
      </c>
      <c r="BG42" s="22"/>
      <c r="BH42" s="22">
        <f t="shared" si="265"/>
        <v>0</v>
      </c>
      <c r="BI42" s="22">
        <f>$G42*BG42</f>
        <v>0</v>
      </c>
      <c r="BJ42" s="22"/>
      <c r="BK42" s="22">
        <f t="shared" si="267"/>
        <v>0</v>
      </c>
      <c r="BL42" s="22">
        <f>$G42*BJ42</f>
        <v>0</v>
      </c>
      <c r="BM42" s="22"/>
      <c r="BN42" s="22">
        <f t="shared" si="269"/>
        <v>0</v>
      </c>
      <c r="BO42" s="22">
        <f>$G42*BM42</f>
        <v>0</v>
      </c>
      <c r="BP42" s="22"/>
      <c r="BQ42" s="22">
        <f t="shared" si="271"/>
        <v>0</v>
      </c>
      <c r="BR42" s="22">
        <f>$G42*BP42</f>
        <v>0</v>
      </c>
      <c r="BS42" s="22"/>
      <c r="BT42" s="22">
        <f t="shared" si="273"/>
        <v>0</v>
      </c>
      <c r="BU42" s="22">
        <f>$G42*BS42</f>
        <v>0</v>
      </c>
      <c r="BV42" s="22"/>
      <c r="BW42" s="22">
        <f t="shared" si="275"/>
        <v>0</v>
      </c>
      <c r="BX42" s="22">
        <f>$G42*BV42</f>
        <v>0</v>
      </c>
      <c r="BY42" s="22"/>
      <c r="BZ42" s="22">
        <f t="shared" si="277"/>
        <v>0</v>
      </c>
      <c r="CA42" s="22">
        <f>$G42*BY42</f>
        <v>0</v>
      </c>
      <c r="CB42" s="22"/>
      <c r="CC42" s="22">
        <f t="shared" si="279"/>
        <v>0</v>
      </c>
      <c r="CD42" s="22">
        <f>$G42*CB42</f>
        <v>0</v>
      </c>
      <c r="CE42" s="22"/>
      <c r="CF42" s="22">
        <f t="shared" si="281"/>
        <v>0</v>
      </c>
      <c r="CG42" s="22">
        <f>$G42*CE42</f>
        <v>0</v>
      </c>
      <c r="CH42" s="22"/>
      <c r="CI42" s="22">
        <f t="shared" si="283"/>
        <v>0</v>
      </c>
      <c r="CJ42" s="22">
        <f>$G42*CH42</f>
        <v>0</v>
      </c>
      <c r="CK42" s="22"/>
      <c r="CL42" s="22">
        <f t="shared" si="285"/>
        <v>0</v>
      </c>
      <c r="CM42" s="22">
        <f>$G42*CK42</f>
        <v>0</v>
      </c>
      <c r="CN42" s="22"/>
      <c r="CO42" s="22">
        <f t="shared" si="287"/>
        <v>0</v>
      </c>
      <c r="CP42" s="22">
        <f>$G42*CN42</f>
        <v>0</v>
      </c>
      <c r="CQ42" s="22"/>
      <c r="CR42" s="22">
        <f t="shared" si="289"/>
        <v>0</v>
      </c>
      <c r="CS42" s="22">
        <f>$G42*CQ42</f>
        <v>0</v>
      </c>
      <c r="CT42" s="22"/>
      <c r="CU42" s="22">
        <f t="shared" si="291"/>
        <v>0</v>
      </c>
      <c r="CV42" s="22">
        <f>$G42*CT42</f>
        <v>0</v>
      </c>
      <c r="CW42" s="22"/>
      <c r="CX42" s="22">
        <f t="shared" si="293"/>
        <v>0</v>
      </c>
      <c r="CY42" s="22">
        <f>$G42*CW42</f>
        <v>0</v>
      </c>
      <c r="CZ42" s="22"/>
      <c r="DA42" s="22">
        <f t="shared" si="295"/>
        <v>0</v>
      </c>
      <c r="DB42" s="22">
        <f>$G42*CZ42</f>
        <v>0</v>
      </c>
      <c r="DC42" s="22"/>
      <c r="DD42" s="22">
        <f t="shared" si="297"/>
        <v>0</v>
      </c>
      <c r="DE42" s="22">
        <f>$G42*DC42</f>
        <v>0</v>
      </c>
      <c r="DF42" s="22"/>
      <c r="DG42" s="22">
        <f t="shared" si="299"/>
        <v>0</v>
      </c>
      <c r="DH42" s="22">
        <f>$G42*DF42</f>
        <v>0</v>
      </c>
      <c r="DI42" s="22"/>
      <c r="DJ42" s="22">
        <f t="shared" si="301"/>
        <v>0</v>
      </c>
      <c r="DK42" s="22">
        <f>$G42*DI42</f>
        <v>0</v>
      </c>
      <c r="DL42" s="22"/>
      <c r="DM42" s="22">
        <f t="shared" si="303"/>
        <v>0</v>
      </c>
      <c r="DN42" s="22">
        <f>$G42*DL42</f>
        <v>0</v>
      </c>
      <c r="DO42" s="22"/>
      <c r="DP42" s="22">
        <f t="shared" si="305"/>
        <v>0</v>
      </c>
      <c r="DQ42" s="22">
        <f>$G42*DO42</f>
        <v>0</v>
      </c>
      <c r="DR42" s="22"/>
      <c r="DS42" s="22">
        <f t="shared" si="307"/>
        <v>0</v>
      </c>
      <c r="DT42" s="22">
        <f>$G42*DR42</f>
        <v>0</v>
      </c>
      <c r="DU42" s="22"/>
      <c r="DV42" s="22">
        <f t="shared" si="309"/>
        <v>0</v>
      </c>
      <c r="DW42" s="22">
        <f>$G42*DU42</f>
        <v>0</v>
      </c>
      <c r="DX42" s="22">
        <v>1</v>
      </c>
      <c r="DY42" s="22">
        <f t="shared" si="311"/>
        <v>1</v>
      </c>
      <c r="DZ42" s="22">
        <f>$G42*DX42</f>
        <v>0</v>
      </c>
      <c r="EA42" s="22"/>
      <c r="EB42" s="22">
        <f t="shared" si="313"/>
        <v>0</v>
      </c>
      <c r="EC42" s="22">
        <f>$G42*EA42</f>
        <v>0</v>
      </c>
      <c r="ED42" s="22"/>
      <c r="EE42" s="22">
        <f t="shared" si="315"/>
        <v>0</v>
      </c>
      <c r="EF42" s="22">
        <f>$G42*ED42</f>
        <v>0</v>
      </c>
      <c r="EG42" s="22"/>
      <c r="EH42" s="22">
        <f t="shared" si="317"/>
        <v>0</v>
      </c>
      <c r="EI42" s="22">
        <f>$G42*EG42</f>
        <v>0</v>
      </c>
      <c r="EJ42" s="22"/>
      <c r="EK42" s="22">
        <f t="shared" si="319"/>
        <v>0</v>
      </c>
      <c r="EL42" s="22">
        <f>$G42*EJ42</f>
        <v>0</v>
      </c>
      <c r="EM42" s="22"/>
      <c r="EN42" s="22">
        <f t="shared" si="321"/>
        <v>0</v>
      </c>
      <c r="EO42" s="22">
        <f>$G42*EM42</f>
        <v>0</v>
      </c>
    </row>
    <row r="43" spans="1:145">
      <c r="A43" s="15">
        <v>38</v>
      </c>
      <c r="B43" s="15" t="s">
        <v>548</v>
      </c>
      <c r="C43" s="16" t="s">
        <v>374</v>
      </c>
      <c r="D43" s="15" t="s">
        <v>552</v>
      </c>
      <c r="E43" s="15" t="s">
        <v>528</v>
      </c>
      <c r="F43" s="19">
        <f t="shared" si="0"/>
        <v>12</v>
      </c>
      <c r="G43" s="20"/>
      <c r="H43" s="21"/>
      <c r="I43" s="22">
        <f t="shared" si="231"/>
        <v>0</v>
      </c>
      <c r="J43" s="22">
        <f t="shared" ref="J43:J47" si="323">$G43*H43</f>
        <v>0</v>
      </c>
      <c r="K43" s="22"/>
      <c r="L43" s="22">
        <f t="shared" si="233"/>
        <v>0</v>
      </c>
      <c r="M43" s="22">
        <f t="shared" ref="M43:M47" si="324">$G43*K43</f>
        <v>0</v>
      </c>
      <c r="N43" s="22"/>
      <c r="O43" s="22">
        <f t="shared" si="235"/>
        <v>0</v>
      </c>
      <c r="P43" s="22">
        <f t="shared" ref="P43:P47" si="325">$G43*N43</f>
        <v>0</v>
      </c>
      <c r="Q43" s="22"/>
      <c r="R43" s="22">
        <f t="shared" si="237"/>
        <v>0</v>
      </c>
      <c r="S43" s="22">
        <f t="shared" ref="S43:S47" si="326">$G43*Q43</f>
        <v>0</v>
      </c>
      <c r="T43" s="22"/>
      <c r="U43" s="22">
        <f t="shared" si="239"/>
        <v>0</v>
      </c>
      <c r="V43" s="22">
        <f t="shared" ref="V43:V47" si="327">$G43*T43</f>
        <v>0</v>
      </c>
      <c r="W43" s="22"/>
      <c r="X43" s="22">
        <f t="shared" si="241"/>
        <v>0</v>
      </c>
      <c r="Y43" s="22">
        <f t="shared" ref="Y43:Y47" si="328">$G43*W43</f>
        <v>0</v>
      </c>
      <c r="Z43" s="22"/>
      <c r="AA43" s="22">
        <f t="shared" si="243"/>
        <v>0</v>
      </c>
      <c r="AB43" s="22">
        <f t="shared" ref="AB43:AB47" si="329">$G43*Z43</f>
        <v>0</v>
      </c>
      <c r="AC43" s="22">
        <v>2</v>
      </c>
      <c r="AD43" s="22">
        <f t="shared" si="245"/>
        <v>2</v>
      </c>
      <c r="AE43" s="22">
        <f t="shared" ref="AE43:AE47" si="330">$G43*AC43</f>
        <v>0</v>
      </c>
      <c r="AF43" s="22">
        <v>2</v>
      </c>
      <c r="AG43" s="22">
        <f t="shared" si="247"/>
        <v>8</v>
      </c>
      <c r="AH43" s="22">
        <f t="shared" ref="AH43:AH47" si="331">$G43*AF43</f>
        <v>0</v>
      </c>
      <c r="AI43" s="22">
        <v>1</v>
      </c>
      <c r="AJ43" s="22">
        <f t="shared" si="249"/>
        <v>1</v>
      </c>
      <c r="AK43" s="22">
        <f t="shared" ref="AK43:AK47" si="332">$G43*AI43</f>
        <v>0</v>
      </c>
      <c r="AL43" s="22"/>
      <c r="AM43" s="22">
        <f t="shared" si="251"/>
        <v>0</v>
      </c>
      <c r="AN43" s="22">
        <f t="shared" ref="AN43:AN47" si="333">$G43*AL43</f>
        <v>0</v>
      </c>
      <c r="AO43" s="22"/>
      <c r="AP43" s="22">
        <f t="shared" si="253"/>
        <v>0</v>
      </c>
      <c r="AQ43" s="22">
        <f t="shared" ref="AQ43:AQ47" si="334">$G43*AO43</f>
        <v>0</v>
      </c>
      <c r="AR43" s="22"/>
      <c r="AS43" s="22">
        <f t="shared" si="255"/>
        <v>0</v>
      </c>
      <c r="AT43" s="22">
        <f t="shared" ref="AT43:AT47" si="335">$G43*AR43</f>
        <v>0</v>
      </c>
      <c r="AU43" s="22"/>
      <c r="AV43" s="22">
        <f t="shared" si="257"/>
        <v>0</v>
      </c>
      <c r="AW43" s="22">
        <f t="shared" ref="AW43:AW47" si="336">$G43*AU43</f>
        <v>0</v>
      </c>
      <c r="AX43" s="22"/>
      <c r="AY43" s="22">
        <f t="shared" si="259"/>
        <v>0</v>
      </c>
      <c r="AZ43" s="22">
        <f t="shared" ref="AZ43:AZ47" si="337">$G43*AX43</f>
        <v>0</v>
      </c>
      <c r="BA43" s="22"/>
      <c r="BB43" s="22">
        <f t="shared" si="261"/>
        <v>0</v>
      </c>
      <c r="BC43" s="22">
        <f t="shared" ref="BC43:BC47" si="338">$G43*BA43</f>
        <v>0</v>
      </c>
      <c r="BD43" s="22"/>
      <c r="BE43" s="22">
        <f t="shared" si="263"/>
        <v>0</v>
      </c>
      <c r="BF43" s="22">
        <f t="shared" ref="BF43:BF47" si="339">$G43*BD43</f>
        <v>0</v>
      </c>
      <c r="BG43" s="22"/>
      <c r="BH43" s="22">
        <f t="shared" si="265"/>
        <v>0</v>
      </c>
      <c r="BI43" s="22">
        <f t="shared" ref="BI43:BI47" si="340">$G43*BG43</f>
        <v>0</v>
      </c>
      <c r="BJ43" s="22"/>
      <c r="BK43" s="22">
        <f t="shared" si="267"/>
        <v>0</v>
      </c>
      <c r="BL43" s="22">
        <f t="shared" ref="BL43:BL47" si="341">$G43*BJ43</f>
        <v>0</v>
      </c>
      <c r="BM43" s="22"/>
      <c r="BN43" s="22">
        <f t="shared" si="269"/>
        <v>0</v>
      </c>
      <c r="BO43" s="22">
        <f t="shared" ref="BO43:BO47" si="342">$G43*BM43</f>
        <v>0</v>
      </c>
      <c r="BP43" s="22"/>
      <c r="BQ43" s="22">
        <f t="shared" si="271"/>
        <v>0</v>
      </c>
      <c r="BR43" s="22">
        <f t="shared" ref="BR43:BR47" si="343">$G43*BP43</f>
        <v>0</v>
      </c>
      <c r="BS43" s="22"/>
      <c r="BT43" s="22">
        <f t="shared" si="273"/>
        <v>0</v>
      </c>
      <c r="BU43" s="22">
        <f t="shared" ref="BU43:BU47" si="344">$G43*BS43</f>
        <v>0</v>
      </c>
      <c r="BV43" s="22"/>
      <c r="BW43" s="22">
        <f t="shared" si="275"/>
        <v>0</v>
      </c>
      <c r="BX43" s="22">
        <f t="shared" ref="BX43:BX47" si="345">$G43*BV43</f>
        <v>0</v>
      </c>
      <c r="BY43" s="22"/>
      <c r="BZ43" s="22">
        <f t="shared" si="277"/>
        <v>0</v>
      </c>
      <c r="CA43" s="22">
        <f t="shared" ref="CA43:CA47" si="346">$G43*BY43</f>
        <v>0</v>
      </c>
      <c r="CB43" s="22"/>
      <c r="CC43" s="22">
        <f t="shared" si="279"/>
        <v>0</v>
      </c>
      <c r="CD43" s="22">
        <f t="shared" ref="CD43:CD47" si="347">$G43*CB43</f>
        <v>0</v>
      </c>
      <c r="CE43" s="22"/>
      <c r="CF43" s="22">
        <f t="shared" si="281"/>
        <v>0</v>
      </c>
      <c r="CG43" s="22">
        <f t="shared" ref="CG43:CG47" si="348">$G43*CE43</f>
        <v>0</v>
      </c>
      <c r="CH43" s="22"/>
      <c r="CI43" s="22">
        <f t="shared" si="283"/>
        <v>0</v>
      </c>
      <c r="CJ43" s="22">
        <f t="shared" ref="CJ43:CJ47" si="349">$G43*CH43</f>
        <v>0</v>
      </c>
      <c r="CK43" s="22"/>
      <c r="CL43" s="22">
        <f t="shared" si="285"/>
        <v>0</v>
      </c>
      <c r="CM43" s="22">
        <f t="shared" ref="CM43:CM47" si="350">$G43*CK43</f>
        <v>0</v>
      </c>
      <c r="CN43" s="22"/>
      <c r="CO43" s="22">
        <f t="shared" si="287"/>
        <v>0</v>
      </c>
      <c r="CP43" s="22">
        <f t="shared" ref="CP43:CP47" si="351">$G43*CN43</f>
        <v>0</v>
      </c>
      <c r="CQ43" s="22"/>
      <c r="CR43" s="22">
        <f t="shared" si="289"/>
        <v>0</v>
      </c>
      <c r="CS43" s="22">
        <f t="shared" ref="CS43:CS47" si="352">$G43*CQ43</f>
        <v>0</v>
      </c>
      <c r="CT43" s="22"/>
      <c r="CU43" s="22">
        <f t="shared" si="291"/>
        <v>0</v>
      </c>
      <c r="CV43" s="22">
        <f t="shared" ref="CV43:CV47" si="353">$G43*CT43</f>
        <v>0</v>
      </c>
      <c r="CW43" s="22"/>
      <c r="CX43" s="22">
        <f t="shared" si="293"/>
        <v>0</v>
      </c>
      <c r="CY43" s="22">
        <f t="shared" ref="CY43:CY47" si="354">$G43*CW43</f>
        <v>0</v>
      </c>
      <c r="CZ43" s="22"/>
      <c r="DA43" s="22">
        <f t="shared" si="295"/>
        <v>0</v>
      </c>
      <c r="DB43" s="22">
        <f t="shared" ref="DB43:DB47" si="355">$G43*CZ43</f>
        <v>0</v>
      </c>
      <c r="DC43" s="22"/>
      <c r="DD43" s="22">
        <f t="shared" si="297"/>
        <v>0</v>
      </c>
      <c r="DE43" s="22">
        <f t="shared" ref="DE43:DE47" si="356">$G43*DC43</f>
        <v>0</v>
      </c>
      <c r="DF43" s="22"/>
      <c r="DG43" s="22">
        <f t="shared" si="299"/>
        <v>0</v>
      </c>
      <c r="DH43" s="22">
        <f t="shared" ref="DH43:DH47" si="357">$G43*DF43</f>
        <v>0</v>
      </c>
      <c r="DI43" s="22"/>
      <c r="DJ43" s="22">
        <f t="shared" si="301"/>
        <v>0</v>
      </c>
      <c r="DK43" s="22">
        <f t="shared" ref="DK43:DK47" si="358">$G43*DI43</f>
        <v>0</v>
      </c>
      <c r="DL43" s="22"/>
      <c r="DM43" s="22">
        <f t="shared" si="303"/>
        <v>0</v>
      </c>
      <c r="DN43" s="22">
        <f t="shared" ref="DN43:DN47" si="359">$G43*DL43</f>
        <v>0</v>
      </c>
      <c r="DO43" s="22"/>
      <c r="DP43" s="22">
        <f t="shared" si="305"/>
        <v>0</v>
      </c>
      <c r="DQ43" s="22">
        <f t="shared" ref="DQ43:DQ47" si="360">$G43*DO43</f>
        <v>0</v>
      </c>
      <c r="DR43" s="22"/>
      <c r="DS43" s="22">
        <f t="shared" si="307"/>
        <v>0</v>
      </c>
      <c r="DT43" s="22">
        <f t="shared" ref="DT43:DT47" si="361">$G43*DR43</f>
        <v>0</v>
      </c>
      <c r="DU43" s="22"/>
      <c r="DV43" s="22">
        <f t="shared" si="309"/>
        <v>0</v>
      </c>
      <c r="DW43" s="22">
        <f t="shared" ref="DW43:DW47" si="362">$G43*DU43</f>
        <v>0</v>
      </c>
      <c r="DX43" s="22">
        <v>1</v>
      </c>
      <c r="DY43" s="22">
        <f t="shared" si="311"/>
        <v>1</v>
      </c>
      <c r="DZ43" s="22">
        <f t="shared" ref="DZ43:DZ47" si="363">$G43*DX43</f>
        <v>0</v>
      </c>
      <c r="EA43" s="22"/>
      <c r="EB43" s="22">
        <f t="shared" si="313"/>
        <v>0</v>
      </c>
      <c r="EC43" s="22">
        <f t="shared" ref="EC43:EC47" si="364">$G43*EA43</f>
        <v>0</v>
      </c>
      <c r="ED43" s="22"/>
      <c r="EE43" s="22">
        <f t="shared" si="315"/>
        <v>0</v>
      </c>
      <c r="EF43" s="22">
        <f t="shared" ref="EF43:EF47" si="365">$G43*ED43</f>
        <v>0</v>
      </c>
      <c r="EG43" s="22"/>
      <c r="EH43" s="22">
        <f t="shared" si="317"/>
        <v>0</v>
      </c>
      <c r="EI43" s="22">
        <f t="shared" ref="EI43:EI47" si="366">$G43*EG43</f>
        <v>0</v>
      </c>
      <c r="EJ43" s="22"/>
      <c r="EK43" s="22">
        <f t="shared" si="319"/>
        <v>0</v>
      </c>
      <c r="EL43" s="22">
        <f t="shared" ref="EL43:EL47" si="367">$G43*EJ43</f>
        <v>0</v>
      </c>
      <c r="EM43" s="22"/>
      <c r="EN43" s="22">
        <f t="shared" si="321"/>
        <v>0</v>
      </c>
      <c r="EO43" s="22">
        <f t="shared" ref="EO43:EO47" si="368">$G43*EM43</f>
        <v>0</v>
      </c>
    </row>
    <row r="44" spans="1:145">
      <c r="A44" s="15">
        <v>39</v>
      </c>
      <c r="B44" s="15" t="s">
        <v>407</v>
      </c>
      <c r="C44" s="16" t="s">
        <v>391</v>
      </c>
      <c r="D44" s="15" t="s">
        <v>553</v>
      </c>
      <c r="E44" s="15"/>
      <c r="F44" s="19">
        <f t="shared" si="0"/>
        <v>6</v>
      </c>
      <c r="G44" s="20"/>
      <c r="H44" s="21"/>
      <c r="I44" s="22">
        <f t="shared" si="231"/>
        <v>0</v>
      </c>
      <c r="J44" s="22">
        <f t="shared" si="323"/>
        <v>0</v>
      </c>
      <c r="K44" s="22"/>
      <c r="L44" s="22">
        <f t="shared" si="233"/>
        <v>0</v>
      </c>
      <c r="M44" s="22">
        <f t="shared" si="324"/>
        <v>0</v>
      </c>
      <c r="N44" s="22"/>
      <c r="O44" s="22">
        <f t="shared" si="235"/>
        <v>0</v>
      </c>
      <c r="P44" s="22">
        <f t="shared" si="325"/>
        <v>0</v>
      </c>
      <c r="Q44" s="22"/>
      <c r="R44" s="22">
        <f t="shared" si="237"/>
        <v>0</v>
      </c>
      <c r="S44" s="22">
        <f t="shared" si="326"/>
        <v>0</v>
      </c>
      <c r="T44" s="22"/>
      <c r="U44" s="22">
        <f t="shared" si="239"/>
        <v>0</v>
      </c>
      <c r="V44" s="22">
        <f t="shared" si="327"/>
        <v>0</v>
      </c>
      <c r="W44" s="22"/>
      <c r="X44" s="22">
        <f t="shared" si="241"/>
        <v>0</v>
      </c>
      <c r="Y44" s="22">
        <f t="shared" si="328"/>
        <v>0</v>
      </c>
      <c r="Z44" s="22"/>
      <c r="AA44" s="22">
        <f t="shared" si="243"/>
        <v>0</v>
      </c>
      <c r="AB44" s="22">
        <f t="shared" si="329"/>
        <v>0</v>
      </c>
      <c r="AC44" s="22">
        <v>1</v>
      </c>
      <c r="AD44" s="22">
        <f t="shared" si="245"/>
        <v>1</v>
      </c>
      <c r="AE44" s="22">
        <f t="shared" si="330"/>
        <v>0</v>
      </c>
      <c r="AF44" s="22">
        <v>1</v>
      </c>
      <c r="AG44" s="22">
        <f t="shared" si="247"/>
        <v>4</v>
      </c>
      <c r="AH44" s="22">
        <f t="shared" si="331"/>
        <v>0</v>
      </c>
      <c r="AI44" s="22">
        <v>1</v>
      </c>
      <c r="AJ44" s="22">
        <f t="shared" si="249"/>
        <v>1</v>
      </c>
      <c r="AK44" s="22">
        <f t="shared" si="332"/>
        <v>0</v>
      </c>
      <c r="AL44" s="22"/>
      <c r="AM44" s="22">
        <f t="shared" si="251"/>
        <v>0</v>
      </c>
      <c r="AN44" s="22">
        <f t="shared" si="333"/>
        <v>0</v>
      </c>
      <c r="AO44" s="22"/>
      <c r="AP44" s="22">
        <f t="shared" si="253"/>
        <v>0</v>
      </c>
      <c r="AQ44" s="22">
        <f t="shared" si="334"/>
        <v>0</v>
      </c>
      <c r="AR44" s="22"/>
      <c r="AS44" s="22">
        <f t="shared" si="255"/>
        <v>0</v>
      </c>
      <c r="AT44" s="22">
        <f t="shared" si="335"/>
        <v>0</v>
      </c>
      <c r="AU44" s="22"/>
      <c r="AV44" s="22">
        <f t="shared" si="257"/>
        <v>0</v>
      </c>
      <c r="AW44" s="22">
        <f t="shared" si="336"/>
        <v>0</v>
      </c>
      <c r="AX44" s="22"/>
      <c r="AY44" s="22">
        <f t="shared" si="259"/>
        <v>0</v>
      </c>
      <c r="AZ44" s="22">
        <f t="shared" si="337"/>
        <v>0</v>
      </c>
      <c r="BA44" s="22"/>
      <c r="BB44" s="22">
        <f t="shared" si="261"/>
        <v>0</v>
      </c>
      <c r="BC44" s="22">
        <f t="shared" si="338"/>
        <v>0</v>
      </c>
      <c r="BD44" s="22"/>
      <c r="BE44" s="22">
        <f t="shared" si="263"/>
        <v>0</v>
      </c>
      <c r="BF44" s="22">
        <f t="shared" si="339"/>
        <v>0</v>
      </c>
      <c r="BG44" s="22"/>
      <c r="BH44" s="22">
        <f t="shared" si="265"/>
        <v>0</v>
      </c>
      <c r="BI44" s="22">
        <f t="shared" si="340"/>
        <v>0</v>
      </c>
      <c r="BJ44" s="22"/>
      <c r="BK44" s="22">
        <f t="shared" si="267"/>
        <v>0</v>
      </c>
      <c r="BL44" s="22">
        <f t="shared" si="341"/>
        <v>0</v>
      </c>
      <c r="BM44" s="22"/>
      <c r="BN44" s="22">
        <f t="shared" si="269"/>
        <v>0</v>
      </c>
      <c r="BO44" s="22">
        <f t="shared" si="342"/>
        <v>0</v>
      </c>
      <c r="BP44" s="22"/>
      <c r="BQ44" s="22">
        <f t="shared" si="271"/>
        <v>0</v>
      </c>
      <c r="BR44" s="22">
        <f t="shared" si="343"/>
        <v>0</v>
      </c>
      <c r="BS44" s="22"/>
      <c r="BT44" s="22">
        <f t="shared" si="273"/>
        <v>0</v>
      </c>
      <c r="BU44" s="22">
        <f t="shared" si="344"/>
        <v>0</v>
      </c>
      <c r="BV44" s="22"/>
      <c r="BW44" s="22">
        <f t="shared" si="275"/>
        <v>0</v>
      </c>
      <c r="BX44" s="22">
        <f t="shared" si="345"/>
        <v>0</v>
      </c>
      <c r="BY44" s="22"/>
      <c r="BZ44" s="22">
        <f t="shared" si="277"/>
        <v>0</v>
      </c>
      <c r="CA44" s="22">
        <f t="shared" si="346"/>
        <v>0</v>
      </c>
      <c r="CB44" s="22"/>
      <c r="CC44" s="22">
        <f t="shared" si="279"/>
        <v>0</v>
      </c>
      <c r="CD44" s="22">
        <f t="shared" si="347"/>
        <v>0</v>
      </c>
      <c r="CE44" s="22"/>
      <c r="CF44" s="22">
        <f t="shared" si="281"/>
        <v>0</v>
      </c>
      <c r="CG44" s="22">
        <f t="shared" si="348"/>
        <v>0</v>
      </c>
      <c r="CH44" s="22"/>
      <c r="CI44" s="22">
        <f t="shared" si="283"/>
        <v>0</v>
      </c>
      <c r="CJ44" s="22">
        <f t="shared" si="349"/>
        <v>0</v>
      </c>
      <c r="CK44" s="22"/>
      <c r="CL44" s="22">
        <f t="shared" si="285"/>
        <v>0</v>
      </c>
      <c r="CM44" s="22">
        <f t="shared" si="350"/>
        <v>0</v>
      </c>
      <c r="CN44" s="22"/>
      <c r="CO44" s="22">
        <f t="shared" si="287"/>
        <v>0</v>
      </c>
      <c r="CP44" s="22">
        <f t="shared" si="351"/>
        <v>0</v>
      </c>
      <c r="CQ44" s="22"/>
      <c r="CR44" s="22">
        <f t="shared" si="289"/>
        <v>0</v>
      </c>
      <c r="CS44" s="22">
        <f t="shared" si="352"/>
        <v>0</v>
      </c>
      <c r="CT44" s="22"/>
      <c r="CU44" s="22">
        <f t="shared" si="291"/>
        <v>0</v>
      </c>
      <c r="CV44" s="22">
        <f t="shared" si="353"/>
        <v>0</v>
      </c>
      <c r="CW44" s="22"/>
      <c r="CX44" s="22">
        <f t="shared" si="293"/>
        <v>0</v>
      </c>
      <c r="CY44" s="22">
        <f t="shared" si="354"/>
        <v>0</v>
      </c>
      <c r="CZ44" s="22"/>
      <c r="DA44" s="22">
        <f t="shared" si="295"/>
        <v>0</v>
      </c>
      <c r="DB44" s="22">
        <f t="shared" si="355"/>
        <v>0</v>
      </c>
      <c r="DC44" s="22"/>
      <c r="DD44" s="22">
        <f t="shared" si="297"/>
        <v>0</v>
      </c>
      <c r="DE44" s="22">
        <f t="shared" si="356"/>
        <v>0</v>
      </c>
      <c r="DF44" s="22"/>
      <c r="DG44" s="22">
        <f t="shared" si="299"/>
        <v>0</v>
      </c>
      <c r="DH44" s="22">
        <f t="shared" si="357"/>
        <v>0</v>
      </c>
      <c r="DI44" s="22"/>
      <c r="DJ44" s="22">
        <f t="shared" si="301"/>
        <v>0</v>
      </c>
      <c r="DK44" s="22">
        <f t="shared" si="358"/>
        <v>0</v>
      </c>
      <c r="DL44" s="22"/>
      <c r="DM44" s="22">
        <f t="shared" si="303"/>
        <v>0</v>
      </c>
      <c r="DN44" s="22">
        <f t="shared" si="359"/>
        <v>0</v>
      </c>
      <c r="DO44" s="22"/>
      <c r="DP44" s="22">
        <f t="shared" si="305"/>
        <v>0</v>
      </c>
      <c r="DQ44" s="22">
        <f t="shared" si="360"/>
        <v>0</v>
      </c>
      <c r="DR44" s="22"/>
      <c r="DS44" s="22">
        <f t="shared" si="307"/>
        <v>0</v>
      </c>
      <c r="DT44" s="22">
        <f t="shared" si="361"/>
        <v>0</v>
      </c>
      <c r="DU44" s="22"/>
      <c r="DV44" s="22">
        <f t="shared" si="309"/>
        <v>0</v>
      </c>
      <c r="DW44" s="22">
        <f t="shared" si="362"/>
        <v>0</v>
      </c>
      <c r="DX44" s="22"/>
      <c r="DY44" s="22">
        <f t="shared" si="311"/>
        <v>0</v>
      </c>
      <c r="DZ44" s="22">
        <f t="shared" si="363"/>
        <v>0</v>
      </c>
      <c r="EA44" s="22"/>
      <c r="EB44" s="22">
        <f t="shared" si="313"/>
        <v>0</v>
      </c>
      <c r="EC44" s="22">
        <f t="shared" si="364"/>
        <v>0</v>
      </c>
      <c r="ED44" s="22"/>
      <c r="EE44" s="22">
        <f t="shared" si="315"/>
        <v>0</v>
      </c>
      <c r="EF44" s="22">
        <f t="shared" si="365"/>
        <v>0</v>
      </c>
      <c r="EG44" s="22"/>
      <c r="EH44" s="22">
        <f t="shared" si="317"/>
        <v>0</v>
      </c>
      <c r="EI44" s="22">
        <f t="shared" si="366"/>
        <v>0</v>
      </c>
      <c r="EJ44" s="22"/>
      <c r="EK44" s="22">
        <f t="shared" si="319"/>
        <v>0</v>
      </c>
      <c r="EL44" s="22">
        <f t="shared" si="367"/>
        <v>0</v>
      </c>
      <c r="EM44" s="22"/>
      <c r="EN44" s="22">
        <f t="shared" si="321"/>
        <v>0</v>
      </c>
      <c r="EO44" s="22">
        <f t="shared" si="368"/>
        <v>0</v>
      </c>
    </row>
    <row r="45" spans="1:145">
      <c r="A45" s="15">
        <v>40</v>
      </c>
      <c r="B45" s="15" t="s">
        <v>407</v>
      </c>
      <c r="C45" s="16" t="s">
        <v>391</v>
      </c>
      <c r="D45" s="15" t="s">
        <v>408</v>
      </c>
      <c r="E45" s="15"/>
      <c r="F45" s="19">
        <f t="shared" si="0"/>
        <v>9</v>
      </c>
      <c r="G45" s="20"/>
      <c r="H45" s="21"/>
      <c r="I45" s="22">
        <f t="shared" si="231"/>
        <v>0</v>
      </c>
      <c r="J45" s="22">
        <f t="shared" si="323"/>
        <v>0</v>
      </c>
      <c r="K45" s="22"/>
      <c r="L45" s="22">
        <f t="shared" si="233"/>
        <v>0</v>
      </c>
      <c r="M45" s="22">
        <f t="shared" si="324"/>
        <v>0</v>
      </c>
      <c r="N45" s="22"/>
      <c r="O45" s="22">
        <f t="shared" si="235"/>
        <v>0</v>
      </c>
      <c r="P45" s="22">
        <f t="shared" si="325"/>
        <v>0</v>
      </c>
      <c r="Q45" s="22"/>
      <c r="R45" s="22">
        <f t="shared" si="237"/>
        <v>0</v>
      </c>
      <c r="S45" s="22">
        <f t="shared" si="326"/>
        <v>0</v>
      </c>
      <c r="T45" s="22"/>
      <c r="U45" s="22">
        <f t="shared" si="239"/>
        <v>0</v>
      </c>
      <c r="V45" s="22">
        <f t="shared" si="327"/>
        <v>0</v>
      </c>
      <c r="W45" s="22"/>
      <c r="X45" s="22">
        <f t="shared" si="241"/>
        <v>0</v>
      </c>
      <c r="Y45" s="22">
        <f t="shared" si="328"/>
        <v>0</v>
      </c>
      <c r="Z45" s="22"/>
      <c r="AA45" s="22">
        <f t="shared" si="243"/>
        <v>0</v>
      </c>
      <c r="AB45" s="22">
        <f t="shared" si="329"/>
        <v>0</v>
      </c>
      <c r="AC45" s="22">
        <v>1</v>
      </c>
      <c r="AD45" s="22">
        <f t="shared" si="245"/>
        <v>1</v>
      </c>
      <c r="AE45" s="22">
        <f t="shared" si="330"/>
        <v>0</v>
      </c>
      <c r="AF45" s="22">
        <v>1</v>
      </c>
      <c r="AG45" s="22">
        <f t="shared" si="247"/>
        <v>4</v>
      </c>
      <c r="AH45" s="22">
        <f t="shared" si="331"/>
        <v>0</v>
      </c>
      <c r="AI45" s="22">
        <v>1</v>
      </c>
      <c r="AJ45" s="22">
        <f t="shared" si="249"/>
        <v>1</v>
      </c>
      <c r="AK45" s="22">
        <f t="shared" si="332"/>
        <v>0</v>
      </c>
      <c r="AL45" s="22"/>
      <c r="AM45" s="22">
        <f t="shared" si="251"/>
        <v>0</v>
      </c>
      <c r="AN45" s="22">
        <f t="shared" si="333"/>
        <v>0</v>
      </c>
      <c r="AO45" s="22"/>
      <c r="AP45" s="22">
        <f t="shared" si="253"/>
        <v>0</v>
      </c>
      <c r="AQ45" s="22">
        <f t="shared" si="334"/>
        <v>0</v>
      </c>
      <c r="AR45" s="22"/>
      <c r="AS45" s="22">
        <f t="shared" si="255"/>
        <v>0</v>
      </c>
      <c r="AT45" s="22">
        <f t="shared" si="335"/>
        <v>0</v>
      </c>
      <c r="AU45" s="22"/>
      <c r="AV45" s="22">
        <f t="shared" si="257"/>
        <v>0</v>
      </c>
      <c r="AW45" s="22">
        <f t="shared" si="336"/>
        <v>0</v>
      </c>
      <c r="AX45" s="22"/>
      <c r="AY45" s="22">
        <f t="shared" si="259"/>
        <v>0</v>
      </c>
      <c r="AZ45" s="22">
        <f t="shared" si="337"/>
        <v>0</v>
      </c>
      <c r="BA45" s="22">
        <v>2</v>
      </c>
      <c r="BB45" s="22">
        <f t="shared" si="261"/>
        <v>2</v>
      </c>
      <c r="BC45" s="22">
        <f t="shared" si="338"/>
        <v>0</v>
      </c>
      <c r="BD45" s="22"/>
      <c r="BE45" s="22">
        <f t="shared" si="263"/>
        <v>0</v>
      </c>
      <c r="BF45" s="22">
        <f t="shared" si="339"/>
        <v>0</v>
      </c>
      <c r="BG45" s="22"/>
      <c r="BH45" s="22">
        <f t="shared" si="265"/>
        <v>0</v>
      </c>
      <c r="BI45" s="22">
        <f t="shared" si="340"/>
        <v>0</v>
      </c>
      <c r="BJ45" s="22"/>
      <c r="BK45" s="22">
        <f t="shared" si="267"/>
        <v>0</v>
      </c>
      <c r="BL45" s="22">
        <f t="shared" si="341"/>
        <v>0</v>
      </c>
      <c r="BM45" s="22"/>
      <c r="BN45" s="22">
        <f t="shared" si="269"/>
        <v>0</v>
      </c>
      <c r="BO45" s="22">
        <f t="shared" si="342"/>
        <v>0</v>
      </c>
      <c r="BP45" s="22"/>
      <c r="BQ45" s="22">
        <f t="shared" si="271"/>
        <v>0</v>
      </c>
      <c r="BR45" s="22">
        <f t="shared" si="343"/>
        <v>0</v>
      </c>
      <c r="BS45" s="22"/>
      <c r="BT45" s="22">
        <f t="shared" si="273"/>
        <v>0</v>
      </c>
      <c r="BU45" s="22">
        <f t="shared" si="344"/>
        <v>0</v>
      </c>
      <c r="BV45" s="22"/>
      <c r="BW45" s="22">
        <f t="shared" si="275"/>
        <v>0</v>
      </c>
      <c r="BX45" s="22">
        <f t="shared" si="345"/>
        <v>0</v>
      </c>
      <c r="BY45" s="22"/>
      <c r="BZ45" s="22">
        <f t="shared" si="277"/>
        <v>0</v>
      </c>
      <c r="CA45" s="22">
        <f t="shared" si="346"/>
        <v>0</v>
      </c>
      <c r="CB45" s="22"/>
      <c r="CC45" s="22">
        <f t="shared" si="279"/>
        <v>0</v>
      </c>
      <c r="CD45" s="22">
        <f t="shared" si="347"/>
        <v>0</v>
      </c>
      <c r="CE45" s="22"/>
      <c r="CF45" s="22">
        <f t="shared" si="281"/>
        <v>0</v>
      </c>
      <c r="CG45" s="22">
        <f t="shared" si="348"/>
        <v>0</v>
      </c>
      <c r="CH45" s="22"/>
      <c r="CI45" s="22">
        <f t="shared" si="283"/>
        <v>0</v>
      </c>
      <c r="CJ45" s="22">
        <f t="shared" si="349"/>
        <v>0</v>
      </c>
      <c r="CK45" s="22"/>
      <c r="CL45" s="22">
        <f t="shared" si="285"/>
        <v>0</v>
      </c>
      <c r="CM45" s="22">
        <f t="shared" si="350"/>
        <v>0</v>
      </c>
      <c r="CN45" s="22"/>
      <c r="CO45" s="22">
        <f t="shared" si="287"/>
        <v>0</v>
      </c>
      <c r="CP45" s="22">
        <f t="shared" si="351"/>
        <v>0</v>
      </c>
      <c r="CQ45" s="22"/>
      <c r="CR45" s="22">
        <f t="shared" si="289"/>
        <v>0</v>
      </c>
      <c r="CS45" s="22">
        <f t="shared" si="352"/>
        <v>0</v>
      </c>
      <c r="CT45" s="22">
        <v>2</v>
      </c>
      <c r="CU45" s="22">
        <f t="shared" si="291"/>
        <v>0</v>
      </c>
      <c r="CV45" s="22">
        <f t="shared" si="353"/>
        <v>0</v>
      </c>
      <c r="CW45" s="22"/>
      <c r="CX45" s="22">
        <f t="shared" si="293"/>
        <v>0</v>
      </c>
      <c r="CY45" s="22">
        <f t="shared" si="354"/>
        <v>0</v>
      </c>
      <c r="CZ45" s="22"/>
      <c r="DA45" s="22">
        <f t="shared" si="295"/>
        <v>0</v>
      </c>
      <c r="DB45" s="22">
        <f t="shared" si="355"/>
        <v>0</v>
      </c>
      <c r="DC45" s="22"/>
      <c r="DD45" s="22">
        <f t="shared" si="297"/>
        <v>0</v>
      </c>
      <c r="DE45" s="22">
        <f t="shared" si="356"/>
        <v>0</v>
      </c>
      <c r="DF45" s="22"/>
      <c r="DG45" s="22">
        <f t="shared" si="299"/>
        <v>0</v>
      </c>
      <c r="DH45" s="22">
        <f t="shared" si="357"/>
        <v>0</v>
      </c>
      <c r="DI45" s="22"/>
      <c r="DJ45" s="22">
        <f t="shared" si="301"/>
        <v>0</v>
      </c>
      <c r="DK45" s="22">
        <f t="shared" si="358"/>
        <v>0</v>
      </c>
      <c r="DL45" s="22"/>
      <c r="DM45" s="22">
        <f t="shared" si="303"/>
        <v>0</v>
      </c>
      <c r="DN45" s="22">
        <f t="shared" si="359"/>
        <v>0</v>
      </c>
      <c r="DO45" s="22"/>
      <c r="DP45" s="22">
        <f t="shared" si="305"/>
        <v>0</v>
      </c>
      <c r="DQ45" s="22">
        <f t="shared" si="360"/>
        <v>0</v>
      </c>
      <c r="DR45" s="22"/>
      <c r="DS45" s="22">
        <f t="shared" si="307"/>
        <v>0</v>
      </c>
      <c r="DT45" s="22">
        <f t="shared" si="361"/>
        <v>0</v>
      </c>
      <c r="DU45" s="22"/>
      <c r="DV45" s="22">
        <f t="shared" si="309"/>
        <v>0</v>
      </c>
      <c r="DW45" s="22">
        <f t="shared" si="362"/>
        <v>0</v>
      </c>
      <c r="DX45" s="22">
        <v>1</v>
      </c>
      <c r="DY45" s="22">
        <f t="shared" si="311"/>
        <v>1</v>
      </c>
      <c r="DZ45" s="22">
        <f t="shared" si="363"/>
        <v>0</v>
      </c>
      <c r="EA45" s="22"/>
      <c r="EB45" s="22">
        <f t="shared" si="313"/>
        <v>0</v>
      </c>
      <c r="EC45" s="22">
        <f t="shared" si="364"/>
        <v>0</v>
      </c>
      <c r="ED45" s="22"/>
      <c r="EE45" s="22">
        <f t="shared" si="315"/>
        <v>0</v>
      </c>
      <c r="EF45" s="22">
        <f t="shared" si="365"/>
        <v>0</v>
      </c>
      <c r="EG45" s="22">
        <v>2</v>
      </c>
      <c r="EH45" s="22">
        <f t="shared" si="317"/>
        <v>0</v>
      </c>
      <c r="EI45" s="22">
        <f t="shared" si="366"/>
        <v>0</v>
      </c>
      <c r="EJ45" s="22"/>
      <c r="EK45" s="22">
        <f t="shared" si="319"/>
        <v>0</v>
      </c>
      <c r="EL45" s="22">
        <f t="shared" si="367"/>
        <v>0</v>
      </c>
      <c r="EM45" s="22"/>
      <c r="EN45" s="22">
        <f t="shared" si="321"/>
        <v>0</v>
      </c>
      <c r="EO45" s="22">
        <f t="shared" si="368"/>
        <v>0</v>
      </c>
    </row>
    <row r="46" spans="1:145">
      <c r="A46" s="15">
        <v>41</v>
      </c>
      <c r="B46" s="15" t="s">
        <v>409</v>
      </c>
      <c r="C46" s="25" t="s">
        <v>394</v>
      </c>
      <c r="D46" s="15" t="s">
        <v>410</v>
      </c>
      <c r="E46" s="15"/>
      <c r="F46" s="19">
        <f t="shared" si="0"/>
        <v>11</v>
      </c>
      <c r="G46" s="20"/>
      <c r="H46" s="21"/>
      <c r="I46" s="22">
        <f t="shared" si="231"/>
        <v>0</v>
      </c>
      <c r="J46" s="22">
        <f t="shared" si="323"/>
        <v>0</v>
      </c>
      <c r="K46" s="22"/>
      <c r="L46" s="22">
        <f t="shared" si="233"/>
        <v>0</v>
      </c>
      <c r="M46" s="22">
        <f t="shared" si="324"/>
        <v>0</v>
      </c>
      <c r="N46" s="22"/>
      <c r="O46" s="22">
        <f t="shared" si="235"/>
        <v>0</v>
      </c>
      <c r="P46" s="22">
        <f t="shared" si="325"/>
        <v>0</v>
      </c>
      <c r="Q46" s="22"/>
      <c r="R46" s="22">
        <f t="shared" si="237"/>
        <v>0</v>
      </c>
      <c r="S46" s="22">
        <f t="shared" si="326"/>
        <v>0</v>
      </c>
      <c r="T46" s="22"/>
      <c r="U46" s="22">
        <f t="shared" si="239"/>
        <v>0</v>
      </c>
      <c r="V46" s="22">
        <f t="shared" si="327"/>
        <v>0</v>
      </c>
      <c r="W46" s="22"/>
      <c r="X46" s="22">
        <f t="shared" si="241"/>
        <v>0</v>
      </c>
      <c r="Y46" s="22">
        <f t="shared" si="328"/>
        <v>0</v>
      </c>
      <c r="Z46" s="22"/>
      <c r="AA46" s="22">
        <f t="shared" si="243"/>
        <v>0</v>
      </c>
      <c r="AB46" s="22">
        <f t="shared" si="329"/>
        <v>0</v>
      </c>
      <c r="AC46" s="22">
        <v>1</v>
      </c>
      <c r="AD46" s="22">
        <f t="shared" si="245"/>
        <v>1</v>
      </c>
      <c r="AE46" s="22">
        <f t="shared" si="330"/>
        <v>0</v>
      </c>
      <c r="AF46" s="22">
        <v>1</v>
      </c>
      <c r="AG46" s="22">
        <f t="shared" si="247"/>
        <v>4</v>
      </c>
      <c r="AH46" s="22">
        <f t="shared" si="331"/>
        <v>0</v>
      </c>
      <c r="AI46" s="22">
        <v>1</v>
      </c>
      <c r="AJ46" s="22">
        <f t="shared" si="249"/>
        <v>1</v>
      </c>
      <c r="AK46" s="22">
        <f t="shared" si="332"/>
        <v>0</v>
      </c>
      <c r="AL46" s="22">
        <v>1</v>
      </c>
      <c r="AM46" s="22">
        <f t="shared" si="251"/>
        <v>0</v>
      </c>
      <c r="AN46" s="22">
        <f t="shared" si="333"/>
        <v>0</v>
      </c>
      <c r="AO46" s="22"/>
      <c r="AP46" s="22">
        <f t="shared" si="253"/>
        <v>0</v>
      </c>
      <c r="AQ46" s="22">
        <f t="shared" si="334"/>
        <v>0</v>
      </c>
      <c r="AR46" s="22"/>
      <c r="AS46" s="22">
        <f t="shared" si="255"/>
        <v>0</v>
      </c>
      <c r="AT46" s="22">
        <f t="shared" si="335"/>
        <v>0</v>
      </c>
      <c r="AU46" s="22"/>
      <c r="AV46" s="22">
        <f t="shared" si="257"/>
        <v>0</v>
      </c>
      <c r="AW46" s="22">
        <f t="shared" si="336"/>
        <v>0</v>
      </c>
      <c r="AX46" s="22"/>
      <c r="AY46" s="22">
        <f t="shared" si="259"/>
        <v>0</v>
      </c>
      <c r="AZ46" s="22">
        <f t="shared" si="337"/>
        <v>0</v>
      </c>
      <c r="BA46" s="22"/>
      <c r="BB46" s="22">
        <f t="shared" si="261"/>
        <v>0</v>
      </c>
      <c r="BC46" s="22">
        <f t="shared" si="338"/>
        <v>0</v>
      </c>
      <c r="BD46" s="22"/>
      <c r="BE46" s="22">
        <f t="shared" si="263"/>
        <v>0</v>
      </c>
      <c r="BF46" s="22">
        <f t="shared" si="339"/>
        <v>0</v>
      </c>
      <c r="BG46" s="22"/>
      <c r="BH46" s="22">
        <f t="shared" si="265"/>
        <v>0</v>
      </c>
      <c r="BI46" s="22">
        <f t="shared" si="340"/>
        <v>0</v>
      </c>
      <c r="BJ46" s="22"/>
      <c r="BK46" s="22">
        <f t="shared" si="267"/>
        <v>0</v>
      </c>
      <c r="BL46" s="22">
        <f t="shared" si="341"/>
        <v>0</v>
      </c>
      <c r="BM46" s="22"/>
      <c r="BN46" s="22">
        <f t="shared" si="269"/>
        <v>0</v>
      </c>
      <c r="BO46" s="22">
        <f t="shared" si="342"/>
        <v>0</v>
      </c>
      <c r="BP46" s="22"/>
      <c r="BQ46" s="22">
        <f t="shared" si="271"/>
        <v>0</v>
      </c>
      <c r="BR46" s="22">
        <f t="shared" si="343"/>
        <v>0</v>
      </c>
      <c r="BS46" s="22"/>
      <c r="BT46" s="22">
        <f t="shared" si="273"/>
        <v>0</v>
      </c>
      <c r="BU46" s="22">
        <f t="shared" si="344"/>
        <v>0</v>
      </c>
      <c r="BV46" s="22"/>
      <c r="BW46" s="22">
        <f t="shared" si="275"/>
        <v>0</v>
      </c>
      <c r="BX46" s="22">
        <f t="shared" si="345"/>
        <v>0</v>
      </c>
      <c r="BY46" s="22"/>
      <c r="BZ46" s="22">
        <f t="shared" si="277"/>
        <v>0</v>
      </c>
      <c r="CA46" s="22">
        <f t="shared" si="346"/>
        <v>0</v>
      </c>
      <c r="CB46" s="22"/>
      <c r="CC46" s="22">
        <f t="shared" si="279"/>
        <v>0</v>
      </c>
      <c r="CD46" s="22">
        <f t="shared" si="347"/>
        <v>0</v>
      </c>
      <c r="CE46" s="22"/>
      <c r="CF46" s="22">
        <f t="shared" si="281"/>
        <v>0</v>
      </c>
      <c r="CG46" s="22">
        <f t="shared" si="348"/>
        <v>0</v>
      </c>
      <c r="CH46" s="22"/>
      <c r="CI46" s="22">
        <f t="shared" si="283"/>
        <v>0</v>
      </c>
      <c r="CJ46" s="22">
        <f t="shared" si="349"/>
        <v>0</v>
      </c>
      <c r="CK46" s="22"/>
      <c r="CL46" s="22">
        <f t="shared" si="285"/>
        <v>0</v>
      </c>
      <c r="CM46" s="22">
        <f t="shared" si="350"/>
        <v>0</v>
      </c>
      <c r="CN46" s="22"/>
      <c r="CO46" s="22">
        <f t="shared" si="287"/>
        <v>0</v>
      </c>
      <c r="CP46" s="22">
        <f t="shared" si="351"/>
        <v>0</v>
      </c>
      <c r="CQ46" s="22"/>
      <c r="CR46" s="22">
        <f t="shared" si="289"/>
        <v>0</v>
      </c>
      <c r="CS46" s="22">
        <f t="shared" si="352"/>
        <v>0</v>
      </c>
      <c r="CT46" s="22"/>
      <c r="CU46" s="22">
        <f t="shared" si="291"/>
        <v>0</v>
      </c>
      <c r="CV46" s="22">
        <f t="shared" si="353"/>
        <v>0</v>
      </c>
      <c r="CW46" s="22"/>
      <c r="CX46" s="22">
        <f t="shared" si="293"/>
        <v>0</v>
      </c>
      <c r="CY46" s="22">
        <f t="shared" si="354"/>
        <v>0</v>
      </c>
      <c r="CZ46" s="22"/>
      <c r="DA46" s="22">
        <f t="shared" si="295"/>
        <v>0</v>
      </c>
      <c r="DB46" s="22">
        <f t="shared" si="355"/>
        <v>0</v>
      </c>
      <c r="DC46" s="22"/>
      <c r="DD46" s="22">
        <f t="shared" si="297"/>
        <v>0</v>
      </c>
      <c r="DE46" s="22">
        <f t="shared" si="356"/>
        <v>0</v>
      </c>
      <c r="DF46" s="22"/>
      <c r="DG46" s="22">
        <f t="shared" si="299"/>
        <v>0</v>
      </c>
      <c r="DH46" s="22">
        <f t="shared" si="357"/>
        <v>0</v>
      </c>
      <c r="DI46" s="22"/>
      <c r="DJ46" s="22">
        <f t="shared" si="301"/>
        <v>0</v>
      </c>
      <c r="DK46" s="22">
        <f t="shared" si="358"/>
        <v>0</v>
      </c>
      <c r="DL46" s="22"/>
      <c r="DM46" s="22">
        <f t="shared" si="303"/>
        <v>0</v>
      </c>
      <c r="DN46" s="22">
        <f t="shared" si="359"/>
        <v>0</v>
      </c>
      <c r="DO46" s="22"/>
      <c r="DP46" s="22">
        <f t="shared" si="305"/>
        <v>0</v>
      </c>
      <c r="DQ46" s="22">
        <f t="shared" si="360"/>
        <v>0</v>
      </c>
      <c r="DR46" s="22"/>
      <c r="DS46" s="22">
        <f t="shared" si="307"/>
        <v>0</v>
      </c>
      <c r="DT46" s="22">
        <f t="shared" si="361"/>
        <v>0</v>
      </c>
      <c r="DU46" s="22"/>
      <c r="DV46" s="22">
        <f t="shared" si="309"/>
        <v>0</v>
      </c>
      <c r="DW46" s="22">
        <f t="shared" si="362"/>
        <v>0</v>
      </c>
      <c r="DX46" s="22"/>
      <c r="DY46" s="22">
        <f t="shared" si="311"/>
        <v>0</v>
      </c>
      <c r="DZ46" s="22">
        <f t="shared" si="363"/>
        <v>0</v>
      </c>
      <c r="EA46" s="22">
        <v>1</v>
      </c>
      <c r="EB46" s="22">
        <f t="shared" si="313"/>
        <v>3</v>
      </c>
      <c r="EC46" s="22">
        <f t="shared" si="364"/>
        <v>0</v>
      </c>
      <c r="ED46" s="22">
        <v>1</v>
      </c>
      <c r="EE46" s="22">
        <f t="shared" si="315"/>
        <v>2</v>
      </c>
      <c r="EF46" s="22">
        <f t="shared" si="365"/>
        <v>0</v>
      </c>
      <c r="EG46" s="22">
        <v>1</v>
      </c>
      <c r="EH46" s="22">
        <f t="shared" si="317"/>
        <v>0</v>
      </c>
      <c r="EI46" s="22">
        <f t="shared" si="366"/>
        <v>0</v>
      </c>
      <c r="EJ46" s="22"/>
      <c r="EK46" s="22">
        <f t="shared" si="319"/>
        <v>0</v>
      </c>
      <c r="EL46" s="22">
        <f t="shared" si="367"/>
        <v>0</v>
      </c>
      <c r="EM46" s="22"/>
      <c r="EN46" s="22">
        <f t="shared" si="321"/>
        <v>0</v>
      </c>
      <c r="EO46" s="22">
        <f t="shared" si="368"/>
        <v>0</v>
      </c>
    </row>
    <row r="47" spans="1:145">
      <c r="A47" s="15">
        <v>42</v>
      </c>
      <c r="B47" s="15" t="s">
        <v>519</v>
      </c>
      <c r="C47" s="16" t="s">
        <v>414</v>
      </c>
      <c r="D47" s="15" t="s">
        <v>520</v>
      </c>
      <c r="E47" s="15" t="s">
        <v>376</v>
      </c>
      <c r="F47" s="19">
        <f t="shared" si="0"/>
        <v>4</v>
      </c>
      <c r="G47" s="20"/>
      <c r="H47" s="21"/>
      <c r="I47" s="22">
        <f t="shared" si="231"/>
        <v>0</v>
      </c>
      <c r="J47" s="22">
        <f t="shared" si="323"/>
        <v>0</v>
      </c>
      <c r="K47" s="22"/>
      <c r="L47" s="22">
        <f t="shared" si="233"/>
        <v>0</v>
      </c>
      <c r="M47" s="22">
        <f t="shared" si="324"/>
        <v>0</v>
      </c>
      <c r="N47" s="22"/>
      <c r="O47" s="22">
        <f t="shared" si="235"/>
        <v>0</v>
      </c>
      <c r="P47" s="22">
        <f t="shared" si="325"/>
        <v>0</v>
      </c>
      <c r="Q47" s="22"/>
      <c r="R47" s="22">
        <f t="shared" si="237"/>
        <v>0</v>
      </c>
      <c r="S47" s="22">
        <f t="shared" si="326"/>
        <v>0</v>
      </c>
      <c r="T47" s="22"/>
      <c r="U47" s="22">
        <f t="shared" si="239"/>
        <v>0</v>
      </c>
      <c r="V47" s="22">
        <f t="shared" si="327"/>
        <v>0</v>
      </c>
      <c r="W47" s="22"/>
      <c r="X47" s="22">
        <f t="shared" si="241"/>
        <v>0</v>
      </c>
      <c r="Y47" s="22">
        <f t="shared" si="328"/>
        <v>0</v>
      </c>
      <c r="Z47" s="22"/>
      <c r="AA47" s="22">
        <f t="shared" si="243"/>
        <v>0</v>
      </c>
      <c r="AB47" s="22">
        <f t="shared" si="329"/>
        <v>0</v>
      </c>
      <c r="AC47" s="22"/>
      <c r="AD47" s="22">
        <f t="shared" si="245"/>
        <v>0</v>
      </c>
      <c r="AE47" s="22">
        <f t="shared" si="330"/>
        <v>0</v>
      </c>
      <c r="AF47" s="22">
        <v>1</v>
      </c>
      <c r="AG47" s="22">
        <f t="shared" si="247"/>
        <v>4</v>
      </c>
      <c r="AH47" s="22">
        <f t="shared" si="331"/>
        <v>0</v>
      </c>
      <c r="AI47" s="22"/>
      <c r="AJ47" s="22">
        <f t="shared" si="249"/>
        <v>0</v>
      </c>
      <c r="AK47" s="22">
        <f t="shared" si="332"/>
        <v>0</v>
      </c>
      <c r="AL47" s="22"/>
      <c r="AM47" s="22">
        <f t="shared" si="251"/>
        <v>0</v>
      </c>
      <c r="AN47" s="22">
        <f t="shared" si="333"/>
        <v>0</v>
      </c>
      <c r="AO47" s="22"/>
      <c r="AP47" s="22">
        <f t="shared" si="253"/>
        <v>0</v>
      </c>
      <c r="AQ47" s="22">
        <f t="shared" si="334"/>
        <v>0</v>
      </c>
      <c r="AR47" s="22"/>
      <c r="AS47" s="22">
        <f t="shared" si="255"/>
        <v>0</v>
      </c>
      <c r="AT47" s="22">
        <f t="shared" si="335"/>
        <v>0</v>
      </c>
      <c r="AU47" s="22"/>
      <c r="AV47" s="22">
        <f t="shared" si="257"/>
        <v>0</v>
      </c>
      <c r="AW47" s="22">
        <f t="shared" si="336"/>
        <v>0</v>
      </c>
      <c r="AX47" s="22"/>
      <c r="AY47" s="22">
        <f t="shared" si="259"/>
        <v>0</v>
      </c>
      <c r="AZ47" s="22">
        <f t="shared" si="337"/>
        <v>0</v>
      </c>
      <c r="BA47" s="22"/>
      <c r="BB47" s="22">
        <f t="shared" si="261"/>
        <v>0</v>
      </c>
      <c r="BC47" s="22">
        <f t="shared" si="338"/>
        <v>0</v>
      </c>
      <c r="BD47" s="22"/>
      <c r="BE47" s="22">
        <f t="shared" si="263"/>
        <v>0</v>
      </c>
      <c r="BF47" s="22">
        <f t="shared" si="339"/>
        <v>0</v>
      </c>
      <c r="BG47" s="22"/>
      <c r="BH47" s="22">
        <f t="shared" si="265"/>
        <v>0</v>
      </c>
      <c r="BI47" s="22">
        <f t="shared" si="340"/>
        <v>0</v>
      </c>
      <c r="BJ47" s="22"/>
      <c r="BK47" s="22">
        <f t="shared" si="267"/>
        <v>0</v>
      </c>
      <c r="BL47" s="22">
        <f t="shared" si="341"/>
        <v>0</v>
      </c>
      <c r="BM47" s="22"/>
      <c r="BN47" s="22">
        <f t="shared" si="269"/>
        <v>0</v>
      </c>
      <c r="BO47" s="22">
        <f t="shared" si="342"/>
        <v>0</v>
      </c>
      <c r="BP47" s="22"/>
      <c r="BQ47" s="22">
        <f t="shared" si="271"/>
        <v>0</v>
      </c>
      <c r="BR47" s="22">
        <f t="shared" si="343"/>
        <v>0</v>
      </c>
      <c r="BS47" s="22"/>
      <c r="BT47" s="22">
        <f t="shared" si="273"/>
        <v>0</v>
      </c>
      <c r="BU47" s="22">
        <f t="shared" si="344"/>
        <v>0</v>
      </c>
      <c r="BV47" s="22"/>
      <c r="BW47" s="22">
        <f t="shared" si="275"/>
        <v>0</v>
      </c>
      <c r="BX47" s="22">
        <f t="shared" si="345"/>
        <v>0</v>
      </c>
      <c r="BY47" s="22"/>
      <c r="BZ47" s="22">
        <f t="shared" si="277"/>
        <v>0</v>
      </c>
      <c r="CA47" s="22">
        <f t="shared" si="346"/>
        <v>0</v>
      </c>
      <c r="CB47" s="22"/>
      <c r="CC47" s="22">
        <f t="shared" si="279"/>
        <v>0</v>
      </c>
      <c r="CD47" s="22">
        <f t="shared" si="347"/>
        <v>0</v>
      </c>
      <c r="CE47" s="22"/>
      <c r="CF47" s="22">
        <f t="shared" si="281"/>
        <v>0</v>
      </c>
      <c r="CG47" s="22">
        <f t="shared" si="348"/>
        <v>0</v>
      </c>
      <c r="CH47" s="22"/>
      <c r="CI47" s="22">
        <f t="shared" si="283"/>
        <v>0</v>
      </c>
      <c r="CJ47" s="22">
        <f t="shared" si="349"/>
        <v>0</v>
      </c>
      <c r="CK47" s="22"/>
      <c r="CL47" s="22">
        <f t="shared" si="285"/>
        <v>0</v>
      </c>
      <c r="CM47" s="22">
        <f t="shared" si="350"/>
        <v>0</v>
      </c>
      <c r="CN47" s="22"/>
      <c r="CO47" s="22">
        <f t="shared" si="287"/>
        <v>0</v>
      </c>
      <c r="CP47" s="22">
        <f t="shared" si="351"/>
        <v>0</v>
      </c>
      <c r="CQ47" s="22"/>
      <c r="CR47" s="22">
        <f t="shared" si="289"/>
        <v>0</v>
      </c>
      <c r="CS47" s="22">
        <f t="shared" si="352"/>
        <v>0</v>
      </c>
      <c r="CT47" s="22"/>
      <c r="CU47" s="22">
        <f t="shared" si="291"/>
        <v>0</v>
      </c>
      <c r="CV47" s="22">
        <f t="shared" si="353"/>
        <v>0</v>
      </c>
      <c r="CW47" s="22"/>
      <c r="CX47" s="22">
        <f t="shared" si="293"/>
        <v>0</v>
      </c>
      <c r="CY47" s="22">
        <f t="shared" si="354"/>
        <v>0</v>
      </c>
      <c r="CZ47" s="22"/>
      <c r="DA47" s="22">
        <f t="shared" si="295"/>
        <v>0</v>
      </c>
      <c r="DB47" s="22">
        <f t="shared" si="355"/>
        <v>0</v>
      </c>
      <c r="DC47" s="22"/>
      <c r="DD47" s="22">
        <f t="shared" si="297"/>
        <v>0</v>
      </c>
      <c r="DE47" s="22">
        <f t="shared" si="356"/>
        <v>0</v>
      </c>
      <c r="DF47" s="22"/>
      <c r="DG47" s="22">
        <f t="shared" si="299"/>
        <v>0</v>
      </c>
      <c r="DH47" s="22">
        <f t="shared" si="357"/>
        <v>0</v>
      </c>
      <c r="DI47" s="22"/>
      <c r="DJ47" s="22">
        <f t="shared" si="301"/>
        <v>0</v>
      </c>
      <c r="DK47" s="22">
        <f t="shared" si="358"/>
        <v>0</v>
      </c>
      <c r="DL47" s="22"/>
      <c r="DM47" s="22">
        <f t="shared" si="303"/>
        <v>0</v>
      </c>
      <c r="DN47" s="22">
        <f t="shared" si="359"/>
        <v>0</v>
      </c>
      <c r="DO47" s="22"/>
      <c r="DP47" s="22">
        <f t="shared" si="305"/>
        <v>0</v>
      </c>
      <c r="DQ47" s="22">
        <f t="shared" si="360"/>
        <v>0</v>
      </c>
      <c r="DR47" s="22"/>
      <c r="DS47" s="22">
        <f t="shared" si="307"/>
        <v>0</v>
      </c>
      <c r="DT47" s="22">
        <f t="shared" si="361"/>
        <v>0</v>
      </c>
      <c r="DU47" s="22"/>
      <c r="DV47" s="22">
        <f t="shared" si="309"/>
        <v>0</v>
      </c>
      <c r="DW47" s="22">
        <f t="shared" si="362"/>
        <v>0</v>
      </c>
      <c r="DX47" s="22"/>
      <c r="DY47" s="22">
        <f t="shared" si="311"/>
        <v>0</v>
      </c>
      <c r="DZ47" s="22">
        <f t="shared" si="363"/>
        <v>0</v>
      </c>
      <c r="EA47" s="22"/>
      <c r="EB47" s="22">
        <f t="shared" si="313"/>
        <v>0</v>
      </c>
      <c r="EC47" s="22">
        <f t="shared" si="364"/>
        <v>0</v>
      </c>
      <c r="ED47" s="22"/>
      <c r="EE47" s="22">
        <f t="shared" si="315"/>
        <v>0</v>
      </c>
      <c r="EF47" s="22">
        <f t="shared" si="365"/>
        <v>0</v>
      </c>
      <c r="EG47" s="22"/>
      <c r="EH47" s="22">
        <f t="shared" si="317"/>
        <v>0</v>
      </c>
      <c r="EI47" s="22">
        <f t="shared" si="366"/>
        <v>0</v>
      </c>
      <c r="EJ47" s="22"/>
      <c r="EK47" s="22">
        <f t="shared" si="319"/>
        <v>0</v>
      </c>
      <c r="EL47" s="22">
        <f t="shared" si="367"/>
        <v>0</v>
      </c>
      <c r="EM47" s="22"/>
      <c r="EN47" s="22">
        <f t="shared" si="321"/>
        <v>0</v>
      </c>
      <c r="EO47" s="22">
        <f t="shared" si="368"/>
        <v>0</v>
      </c>
    </row>
    <row r="48" spans="1:145">
      <c r="A48" s="15">
        <v>43</v>
      </c>
      <c r="B48" s="15" t="s">
        <v>542</v>
      </c>
      <c r="C48" s="16" t="s">
        <v>414</v>
      </c>
      <c r="D48" s="15" t="s">
        <v>554</v>
      </c>
      <c r="E48" s="15" t="s">
        <v>416</v>
      </c>
      <c r="F48" s="19">
        <f t="shared" si="0"/>
        <v>4</v>
      </c>
      <c r="G48" s="20"/>
      <c r="H48" s="21"/>
      <c r="I48" s="22">
        <f t="shared" si="231"/>
        <v>0</v>
      </c>
      <c r="J48" s="22">
        <f>$G48*H48</f>
        <v>0</v>
      </c>
      <c r="K48" s="22"/>
      <c r="L48" s="22">
        <f t="shared" si="233"/>
        <v>0</v>
      </c>
      <c r="M48" s="22">
        <f>$G48*K48</f>
        <v>0</v>
      </c>
      <c r="N48" s="22"/>
      <c r="O48" s="22">
        <f t="shared" si="235"/>
        <v>0</v>
      </c>
      <c r="P48" s="22">
        <f>$G48*N48</f>
        <v>0</v>
      </c>
      <c r="Q48" s="22"/>
      <c r="R48" s="22">
        <f t="shared" si="237"/>
        <v>0</v>
      </c>
      <c r="S48" s="22">
        <f>$G48*Q48</f>
        <v>0</v>
      </c>
      <c r="T48" s="22"/>
      <c r="U48" s="22">
        <f t="shared" si="239"/>
        <v>0</v>
      </c>
      <c r="V48" s="22">
        <f>$G48*T48</f>
        <v>0</v>
      </c>
      <c r="W48" s="22"/>
      <c r="X48" s="22">
        <f t="shared" si="241"/>
        <v>0</v>
      </c>
      <c r="Y48" s="22">
        <f>$G48*W48</f>
        <v>0</v>
      </c>
      <c r="Z48" s="22"/>
      <c r="AA48" s="22">
        <f t="shared" si="243"/>
        <v>0</v>
      </c>
      <c r="AB48" s="22">
        <f>$G48*Z48</f>
        <v>0</v>
      </c>
      <c r="AC48" s="22"/>
      <c r="AD48" s="22">
        <f t="shared" si="245"/>
        <v>0</v>
      </c>
      <c r="AE48" s="22">
        <f>$G48*AC48</f>
        <v>0</v>
      </c>
      <c r="AF48" s="22">
        <v>1</v>
      </c>
      <c r="AG48" s="22">
        <f t="shared" si="247"/>
        <v>4</v>
      </c>
      <c r="AH48" s="22">
        <f>$G48*AF48</f>
        <v>0</v>
      </c>
      <c r="AI48" s="22"/>
      <c r="AJ48" s="22">
        <f t="shared" si="249"/>
        <v>0</v>
      </c>
      <c r="AK48" s="22">
        <f>$G48*AI48</f>
        <v>0</v>
      </c>
      <c r="AL48" s="22"/>
      <c r="AM48" s="22">
        <f t="shared" si="251"/>
        <v>0</v>
      </c>
      <c r="AN48" s="22">
        <f>$G48*AL48</f>
        <v>0</v>
      </c>
      <c r="AO48" s="22"/>
      <c r="AP48" s="22">
        <f t="shared" si="253"/>
        <v>0</v>
      </c>
      <c r="AQ48" s="22">
        <f>$G48*AO48</f>
        <v>0</v>
      </c>
      <c r="AR48" s="22"/>
      <c r="AS48" s="22">
        <f t="shared" si="255"/>
        <v>0</v>
      </c>
      <c r="AT48" s="22">
        <f>$G48*AR48</f>
        <v>0</v>
      </c>
      <c r="AU48" s="22"/>
      <c r="AV48" s="22">
        <f t="shared" si="257"/>
        <v>0</v>
      </c>
      <c r="AW48" s="22">
        <f>$G48*AU48</f>
        <v>0</v>
      </c>
      <c r="AX48" s="22"/>
      <c r="AY48" s="22">
        <f t="shared" si="259"/>
        <v>0</v>
      </c>
      <c r="AZ48" s="22">
        <f>$G48*AX48</f>
        <v>0</v>
      </c>
      <c r="BA48" s="22"/>
      <c r="BB48" s="22">
        <f t="shared" si="261"/>
        <v>0</v>
      </c>
      <c r="BC48" s="22">
        <f>$G48*BA48</f>
        <v>0</v>
      </c>
      <c r="BD48" s="22"/>
      <c r="BE48" s="22">
        <f t="shared" si="263"/>
        <v>0</v>
      </c>
      <c r="BF48" s="22">
        <f>$G48*BD48</f>
        <v>0</v>
      </c>
      <c r="BG48" s="22"/>
      <c r="BH48" s="22">
        <f t="shared" si="265"/>
        <v>0</v>
      </c>
      <c r="BI48" s="22">
        <f>$G48*BG48</f>
        <v>0</v>
      </c>
      <c r="BJ48" s="22"/>
      <c r="BK48" s="22">
        <f t="shared" si="267"/>
        <v>0</v>
      </c>
      <c r="BL48" s="22">
        <f>$G48*BJ48</f>
        <v>0</v>
      </c>
      <c r="BM48" s="22"/>
      <c r="BN48" s="22">
        <f t="shared" si="269"/>
        <v>0</v>
      </c>
      <c r="BO48" s="22">
        <f>$G48*BM48</f>
        <v>0</v>
      </c>
      <c r="BP48" s="22"/>
      <c r="BQ48" s="22">
        <f t="shared" si="271"/>
        <v>0</v>
      </c>
      <c r="BR48" s="22">
        <f>$G48*BP48</f>
        <v>0</v>
      </c>
      <c r="BS48" s="22"/>
      <c r="BT48" s="22">
        <f t="shared" si="273"/>
        <v>0</v>
      </c>
      <c r="BU48" s="22">
        <f>$G48*BS48</f>
        <v>0</v>
      </c>
      <c r="BV48" s="22"/>
      <c r="BW48" s="22">
        <f t="shared" si="275"/>
        <v>0</v>
      </c>
      <c r="BX48" s="22">
        <f>$G48*BV48</f>
        <v>0</v>
      </c>
      <c r="BY48" s="22"/>
      <c r="BZ48" s="22">
        <f t="shared" si="277"/>
        <v>0</v>
      </c>
      <c r="CA48" s="22">
        <f>$G48*BY48</f>
        <v>0</v>
      </c>
      <c r="CB48" s="22"/>
      <c r="CC48" s="22">
        <f t="shared" si="279"/>
        <v>0</v>
      </c>
      <c r="CD48" s="22">
        <f>$G48*CB48</f>
        <v>0</v>
      </c>
      <c r="CE48" s="22"/>
      <c r="CF48" s="22">
        <f t="shared" si="281"/>
        <v>0</v>
      </c>
      <c r="CG48" s="22">
        <f>$G48*CE48</f>
        <v>0</v>
      </c>
      <c r="CH48" s="22"/>
      <c r="CI48" s="22">
        <f t="shared" si="283"/>
        <v>0</v>
      </c>
      <c r="CJ48" s="22">
        <f>$G48*CH48</f>
        <v>0</v>
      </c>
      <c r="CK48" s="22"/>
      <c r="CL48" s="22">
        <f t="shared" si="285"/>
        <v>0</v>
      </c>
      <c r="CM48" s="22">
        <f>$G48*CK48</f>
        <v>0</v>
      </c>
      <c r="CN48" s="22"/>
      <c r="CO48" s="22">
        <f t="shared" si="287"/>
        <v>0</v>
      </c>
      <c r="CP48" s="22">
        <f>$G48*CN48</f>
        <v>0</v>
      </c>
      <c r="CQ48" s="22"/>
      <c r="CR48" s="22">
        <f t="shared" si="289"/>
        <v>0</v>
      </c>
      <c r="CS48" s="22">
        <f>$G48*CQ48</f>
        <v>0</v>
      </c>
      <c r="CT48" s="22"/>
      <c r="CU48" s="22">
        <f t="shared" si="291"/>
        <v>0</v>
      </c>
      <c r="CV48" s="22">
        <f>$G48*CT48</f>
        <v>0</v>
      </c>
      <c r="CW48" s="22"/>
      <c r="CX48" s="22">
        <f t="shared" si="293"/>
        <v>0</v>
      </c>
      <c r="CY48" s="22">
        <f>$G48*CW48</f>
        <v>0</v>
      </c>
      <c r="CZ48" s="22"/>
      <c r="DA48" s="22">
        <f t="shared" si="295"/>
        <v>0</v>
      </c>
      <c r="DB48" s="22">
        <f>$G48*CZ48</f>
        <v>0</v>
      </c>
      <c r="DC48" s="22"/>
      <c r="DD48" s="22">
        <f t="shared" si="297"/>
        <v>0</v>
      </c>
      <c r="DE48" s="22">
        <f>$G48*DC48</f>
        <v>0</v>
      </c>
      <c r="DF48" s="22"/>
      <c r="DG48" s="22">
        <f t="shared" si="299"/>
        <v>0</v>
      </c>
      <c r="DH48" s="22">
        <f>$G48*DF48</f>
        <v>0</v>
      </c>
      <c r="DI48" s="22"/>
      <c r="DJ48" s="22">
        <f t="shared" si="301"/>
        <v>0</v>
      </c>
      <c r="DK48" s="22">
        <f>$G48*DI48</f>
        <v>0</v>
      </c>
      <c r="DL48" s="22"/>
      <c r="DM48" s="22">
        <f t="shared" si="303"/>
        <v>0</v>
      </c>
      <c r="DN48" s="22">
        <f>$G48*DL48</f>
        <v>0</v>
      </c>
      <c r="DO48" s="22"/>
      <c r="DP48" s="22">
        <f t="shared" si="305"/>
        <v>0</v>
      </c>
      <c r="DQ48" s="22">
        <f>$G48*DO48</f>
        <v>0</v>
      </c>
      <c r="DR48" s="22"/>
      <c r="DS48" s="22">
        <f t="shared" si="307"/>
        <v>0</v>
      </c>
      <c r="DT48" s="22">
        <f>$G48*DR48</f>
        <v>0</v>
      </c>
      <c r="DU48" s="22"/>
      <c r="DV48" s="22">
        <f t="shared" si="309"/>
        <v>0</v>
      </c>
      <c r="DW48" s="22">
        <f>$G48*DU48</f>
        <v>0</v>
      </c>
      <c r="DX48" s="22"/>
      <c r="DY48" s="22">
        <f t="shared" si="311"/>
        <v>0</v>
      </c>
      <c r="DZ48" s="22">
        <f>$G48*DX48</f>
        <v>0</v>
      </c>
      <c r="EA48" s="22"/>
      <c r="EB48" s="22">
        <f t="shared" si="313"/>
        <v>0</v>
      </c>
      <c r="EC48" s="22">
        <f>$G48*EA48</f>
        <v>0</v>
      </c>
      <c r="ED48" s="22"/>
      <c r="EE48" s="22">
        <f t="shared" si="315"/>
        <v>0</v>
      </c>
      <c r="EF48" s="22">
        <f>$G48*ED48</f>
        <v>0</v>
      </c>
      <c r="EG48" s="22"/>
      <c r="EH48" s="22">
        <f t="shared" si="317"/>
        <v>0</v>
      </c>
      <c r="EI48" s="22">
        <f>$G48*EG48</f>
        <v>0</v>
      </c>
      <c r="EJ48" s="22"/>
      <c r="EK48" s="22">
        <f t="shared" si="319"/>
        <v>0</v>
      </c>
      <c r="EL48" s="22">
        <f>$G48*EJ48</f>
        <v>0</v>
      </c>
      <c r="EM48" s="22"/>
      <c r="EN48" s="22">
        <f t="shared" si="321"/>
        <v>0</v>
      </c>
      <c r="EO48" s="22">
        <f>$G48*EM48</f>
        <v>0</v>
      </c>
    </row>
    <row r="49" spans="1:145">
      <c r="A49" s="15">
        <v>44</v>
      </c>
      <c r="B49" s="15" t="s">
        <v>544</v>
      </c>
      <c r="C49" s="16" t="s">
        <v>414</v>
      </c>
      <c r="D49" s="15" t="s">
        <v>555</v>
      </c>
      <c r="E49" s="15" t="s">
        <v>416</v>
      </c>
      <c r="F49" s="19">
        <f t="shared" si="0"/>
        <v>4</v>
      </c>
      <c r="G49" s="20"/>
      <c r="H49" s="21"/>
      <c r="I49" s="22">
        <f t="shared" si="231"/>
        <v>0</v>
      </c>
      <c r="J49" s="22">
        <f t="shared" ref="J49:J55" si="369">$G49*H49</f>
        <v>0</v>
      </c>
      <c r="K49" s="22"/>
      <c r="L49" s="22">
        <f t="shared" si="233"/>
        <v>0</v>
      </c>
      <c r="M49" s="22">
        <f t="shared" ref="M49:M55" si="370">$G49*K49</f>
        <v>0</v>
      </c>
      <c r="N49" s="22"/>
      <c r="O49" s="22">
        <f t="shared" si="235"/>
        <v>0</v>
      </c>
      <c r="P49" s="22">
        <f t="shared" ref="P49:P55" si="371">$G49*N49</f>
        <v>0</v>
      </c>
      <c r="Q49" s="22"/>
      <c r="R49" s="22">
        <f t="shared" si="237"/>
        <v>0</v>
      </c>
      <c r="S49" s="22">
        <f t="shared" ref="S49:S55" si="372">$G49*Q49</f>
        <v>0</v>
      </c>
      <c r="T49" s="22"/>
      <c r="U49" s="22">
        <f t="shared" si="239"/>
        <v>0</v>
      </c>
      <c r="V49" s="22">
        <f t="shared" ref="V49:V55" si="373">$G49*T49</f>
        <v>0</v>
      </c>
      <c r="W49" s="22"/>
      <c r="X49" s="22">
        <f t="shared" si="241"/>
        <v>0</v>
      </c>
      <c r="Y49" s="22">
        <f t="shared" ref="Y49:Y55" si="374">$G49*W49</f>
        <v>0</v>
      </c>
      <c r="Z49" s="22"/>
      <c r="AA49" s="22">
        <f t="shared" si="243"/>
        <v>0</v>
      </c>
      <c r="AB49" s="22">
        <f t="shared" ref="AB49:AB55" si="375">$G49*Z49</f>
        <v>0</v>
      </c>
      <c r="AC49" s="22"/>
      <c r="AD49" s="22">
        <f t="shared" si="245"/>
        <v>0</v>
      </c>
      <c r="AE49" s="22">
        <f t="shared" ref="AE49:AE55" si="376">$G49*AC49</f>
        <v>0</v>
      </c>
      <c r="AF49" s="22">
        <v>1</v>
      </c>
      <c r="AG49" s="22">
        <f t="shared" si="247"/>
        <v>4</v>
      </c>
      <c r="AH49" s="22">
        <f t="shared" ref="AH49:AH55" si="377">$G49*AF49</f>
        <v>0</v>
      </c>
      <c r="AI49" s="22"/>
      <c r="AJ49" s="22">
        <f t="shared" si="249"/>
        <v>0</v>
      </c>
      <c r="AK49" s="22">
        <f t="shared" ref="AK49:AK55" si="378">$G49*AI49</f>
        <v>0</v>
      </c>
      <c r="AL49" s="22"/>
      <c r="AM49" s="22">
        <f t="shared" si="251"/>
        <v>0</v>
      </c>
      <c r="AN49" s="22">
        <f t="shared" ref="AN49:AN55" si="379">$G49*AL49</f>
        <v>0</v>
      </c>
      <c r="AO49" s="22"/>
      <c r="AP49" s="22">
        <f t="shared" si="253"/>
        <v>0</v>
      </c>
      <c r="AQ49" s="22">
        <f t="shared" ref="AQ49:AQ55" si="380">$G49*AO49</f>
        <v>0</v>
      </c>
      <c r="AR49" s="22"/>
      <c r="AS49" s="22">
        <f t="shared" si="255"/>
        <v>0</v>
      </c>
      <c r="AT49" s="22">
        <f t="shared" ref="AT49:AT55" si="381">$G49*AR49</f>
        <v>0</v>
      </c>
      <c r="AU49" s="22"/>
      <c r="AV49" s="22">
        <f t="shared" si="257"/>
        <v>0</v>
      </c>
      <c r="AW49" s="22">
        <f t="shared" ref="AW49:AW55" si="382">$G49*AU49</f>
        <v>0</v>
      </c>
      <c r="AX49" s="22"/>
      <c r="AY49" s="22">
        <f t="shared" si="259"/>
        <v>0</v>
      </c>
      <c r="AZ49" s="22">
        <f t="shared" ref="AZ49:AZ55" si="383">$G49*AX49</f>
        <v>0</v>
      </c>
      <c r="BA49" s="22"/>
      <c r="BB49" s="22">
        <f t="shared" si="261"/>
        <v>0</v>
      </c>
      <c r="BC49" s="22">
        <f t="shared" ref="BC49:BC55" si="384">$G49*BA49</f>
        <v>0</v>
      </c>
      <c r="BD49" s="22"/>
      <c r="BE49" s="22">
        <f t="shared" si="263"/>
        <v>0</v>
      </c>
      <c r="BF49" s="22">
        <f t="shared" ref="BF49:BF55" si="385">$G49*BD49</f>
        <v>0</v>
      </c>
      <c r="BG49" s="22"/>
      <c r="BH49" s="22">
        <f t="shared" si="265"/>
        <v>0</v>
      </c>
      <c r="BI49" s="22">
        <f t="shared" ref="BI49:BI55" si="386">$G49*BG49</f>
        <v>0</v>
      </c>
      <c r="BJ49" s="22"/>
      <c r="BK49" s="22">
        <f t="shared" si="267"/>
        <v>0</v>
      </c>
      <c r="BL49" s="22">
        <f t="shared" ref="BL49:BL55" si="387">$G49*BJ49</f>
        <v>0</v>
      </c>
      <c r="BM49" s="22"/>
      <c r="BN49" s="22">
        <f t="shared" si="269"/>
        <v>0</v>
      </c>
      <c r="BO49" s="22">
        <f t="shared" ref="BO49:BO55" si="388">$G49*BM49</f>
        <v>0</v>
      </c>
      <c r="BP49" s="22"/>
      <c r="BQ49" s="22">
        <f t="shared" si="271"/>
        <v>0</v>
      </c>
      <c r="BR49" s="22">
        <f t="shared" ref="BR49:BR55" si="389">$G49*BP49</f>
        <v>0</v>
      </c>
      <c r="BS49" s="22"/>
      <c r="BT49" s="22">
        <f t="shared" si="273"/>
        <v>0</v>
      </c>
      <c r="BU49" s="22">
        <f t="shared" ref="BU49:BU55" si="390">$G49*BS49</f>
        <v>0</v>
      </c>
      <c r="BV49" s="22"/>
      <c r="BW49" s="22">
        <f t="shared" si="275"/>
        <v>0</v>
      </c>
      <c r="BX49" s="22">
        <f t="shared" ref="BX49:BX55" si="391">$G49*BV49</f>
        <v>0</v>
      </c>
      <c r="BY49" s="22"/>
      <c r="BZ49" s="22">
        <f t="shared" si="277"/>
        <v>0</v>
      </c>
      <c r="CA49" s="22">
        <f t="shared" ref="CA49:CA55" si="392">$G49*BY49</f>
        <v>0</v>
      </c>
      <c r="CB49" s="22"/>
      <c r="CC49" s="22">
        <f t="shared" si="279"/>
        <v>0</v>
      </c>
      <c r="CD49" s="22">
        <f t="shared" ref="CD49:CD55" si="393">$G49*CB49</f>
        <v>0</v>
      </c>
      <c r="CE49" s="22"/>
      <c r="CF49" s="22">
        <f t="shared" si="281"/>
        <v>0</v>
      </c>
      <c r="CG49" s="22">
        <f t="shared" ref="CG49:CG55" si="394">$G49*CE49</f>
        <v>0</v>
      </c>
      <c r="CH49" s="22"/>
      <c r="CI49" s="22">
        <f t="shared" si="283"/>
        <v>0</v>
      </c>
      <c r="CJ49" s="22">
        <f t="shared" ref="CJ49:CJ55" si="395">$G49*CH49</f>
        <v>0</v>
      </c>
      <c r="CK49" s="22"/>
      <c r="CL49" s="22">
        <f t="shared" si="285"/>
        <v>0</v>
      </c>
      <c r="CM49" s="22">
        <f t="shared" ref="CM49:CM55" si="396">$G49*CK49</f>
        <v>0</v>
      </c>
      <c r="CN49" s="22"/>
      <c r="CO49" s="22">
        <f t="shared" si="287"/>
        <v>0</v>
      </c>
      <c r="CP49" s="22">
        <f t="shared" ref="CP49:CP55" si="397">$G49*CN49</f>
        <v>0</v>
      </c>
      <c r="CQ49" s="22"/>
      <c r="CR49" s="22">
        <f t="shared" si="289"/>
        <v>0</v>
      </c>
      <c r="CS49" s="22">
        <f t="shared" ref="CS49:CS55" si="398">$G49*CQ49</f>
        <v>0</v>
      </c>
      <c r="CT49" s="22"/>
      <c r="CU49" s="22">
        <f t="shared" si="291"/>
        <v>0</v>
      </c>
      <c r="CV49" s="22">
        <f t="shared" ref="CV49:CV55" si="399">$G49*CT49</f>
        <v>0</v>
      </c>
      <c r="CW49" s="22"/>
      <c r="CX49" s="22">
        <f t="shared" si="293"/>
        <v>0</v>
      </c>
      <c r="CY49" s="22">
        <f t="shared" ref="CY49:CY55" si="400">$G49*CW49</f>
        <v>0</v>
      </c>
      <c r="CZ49" s="22"/>
      <c r="DA49" s="22">
        <f t="shared" si="295"/>
        <v>0</v>
      </c>
      <c r="DB49" s="22">
        <f t="shared" ref="DB49:DB55" si="401">$G49*CZ49</f>
        <v>0</v>
      </c>
      <c r="DC49" s="22"/>
      <c r="DD49" s="22">
        <f t="shared" si="297"/>
        <v>0</v>
      </c>
      <c r="DE49" s="22">
        <f t="shared" ref="DE49:DE55" si="402">$G49*DC49</f>
        <v>0</v>
      </c>
      <c r="DF49" s="22"/>
      <c r="DG49" s="22">
        <f t="shared" si="299"/>
        <v>0</v>
      </c>
      <c r="DH49" s="22">
        <f t="shared" ref="DH49:DH55" si="403">$G49*DF49</f>
        <v>0</v>
      </c>
      <c r="DI49" s="22"/>
      <c r="DJ49" s="22">
        <f t="shared" si="301"/>
        <v>0</v>
      </c>
      <c r="DK49" s="22">
        <f t="shared" ref="DK49:DK55" si="404">$G49*DI49</f>
        <v>0</v>
      </c>
      <c r="DL49" s="22"/>
      <c r="DM49" s="22">
        <f t="shared" si="303"/>
        <v>0</v>
      </c>
      <c r="DN49" s="22">
        <f t="shared" ref="DN49:DN55" si="405">$G49*DL49</f>
        <v>0</v>
      </c>
      <c r="DO49" s="22"/>
      <c r="DP49" s="22">
        <f t="shared" si="305"/>
        <v>0</v>
      </c>
      <c r="DQ49" s="22">
        <f t="shared" ref="DQ49:DQ55" si="406">$G49*DO49</f>
        <v>0</v>
      </c>
      <c r="DR49" s="22"/>
      <c r="DS49" s="22">
        <f t="shared" si="307"/>
        <v>0</v>
      </c>
      <c r="DT49" s="22">
        <f t="shared" ref="DT49:DT55" si="407">$G49*DR49</f>
        <v>0</v>
      </c>
      <c r="DU49" s="22"/>
      <c r="DV49" s="22">
        <f t="shared" si="309"/>
        <v>0</v>
      </c>
      <c r="DW49" s="22">
        <f t="shared" ref="DW49:DW55" si="408">$G49*DU49</f>
        <v>0</v>
      </c>
      <c r="DX49" s="22"/>
      <c r="DY49" s="22">
        <f t="shared" si="311"/>
        <v>0</v>
      </c>
      <c r="DZ49" s="22">
        <f t="shared" ref="DZ49:DZ55" si="409">$G49*DX49</f>
        <v>0</v>
      </c>
      <c r="EA49" s="22"/>
      <c r="EB49" s="22">
        <f t="shared" si="313"/>
        <v>0</v>
      </c>
      <c r="EC49" s="22">
        <f t="shared" ref="EC49:EC55" si="410">$G49*EA49</f>
        <v>0</v>
      </c>
      <c r="ED49" s="22"/>
      <c r="EE49" s="22">
        <f t="shared" si="315"/>
        <v>0</v>
      </c>
      <c r="EF49" s="22">
        <f t="shared" ref="EF49:EF55" si="411">$G49*ED49</f>
        <v>0</v>
      </c>
      <c r="EG49" s="22"/>
      <c r="EH49" s="22">
        <f t="shared" si="317"/>
        <v>0</v>
      </c>
      <c r="EI49" s="22">
        <f t="shared" ref="EI49:EI55" si="412">$G49*EG49</f>
        <v>0</v>
      </c>
      <c r="EJ49" s="22"/>
      <c r="EK49" s="22">
        <f t="shared" si="319"/>
        <v>0</v>
      </c>
      <c r="EL49" s="22">
        <f t="shared" ref="EL49:EL55" si="413">$G49*EJ49</f>
        <v>0</v>
      </c>
      <c r="EM49" s="22"/>
      <c r="EN49" s="22">
        <f t="shared" si="321"/>
        <v>0</v>
      </c>
      <c r="EO49" s="22">
        <f t="shared" ref="EO49:EO55" si="414">$G49*EM49</f>
        <v>0</v>
      </c>
    </row>
    <row r="50" spans="1:145">
      <c r="A50" s="15">
        <v>45</v>
      </c>
      <c r="B50" s="15" t="s">
        <v>546</v>
      </c>
      <c r="C50" s="16" t="s">
        <v>414</v>
      </c>
      <c r="D50" s="15" t="s">
        <v>547</v>
      </c>
      <c r="E50" s="15" t="s">
        <v>380</v>
      </c>
      <c r="F50" s="19">
        <f t="shared" si="0"/>
        <v>4</v>
      </c>
      <c r="G50" s="20"/>
      <c r="H50" s="21"/>
      <c r="I50" s="22">
        <f t="shared" si="231"/>
        <v>0</v>
      </c>
      <c r="J50" s="22">
        <f t="shared" si="369"/>
        <v>0</v>
      </c>
      <c r="K50" s="22"/>
      <c r="L50" s="22">
        <f t="shared" si="233"/>
        <v>0</v>
      </c>
      <c r="M50" s="22">
        <f t="shared" si="370"/>
        <v>0</v>
      </c>
      <c r="N50" s="22"/>
      <c r="O50" s="22">
        <f t="shared" si="235"/>
        <v>0</v>
      </c>
      <c r="P50" s="22">
        <f t="shared" si="371"/>
        <v>0</v>
      </c>
      <c r="Q50" s="22"/>
      <c r="R50" s="22">
        <f t="shared" si="237"/>
        <v>0</v>
      </c>
      <c r="S50" s="22">
        <f t="shared" si="372"/>
        <v>0</v>
      </c>
      <c r="T50" s="22"/>
      <c r="U50" s="22">
        <f t="shared" si="239"/>
        <v>0</v>
      </c>
      <c r="V50" s="22">
        <f t="shared" si="373"/>
        <v>0</v>
      </c>
      <c r="W50" s="22"/>
      <c r="X50" s="22">
        <f t="shared" si="241"/>
        <v>0</v>
      </c>
      <c r="Y50" s="22">
        <f t="shared" si="374"/>
        <v>0</v>
      </c>
      <c r="Z50" s="22"/>
      <c r="AA50" s="22">
        <f t="shared" si="243"/>
        <v>0</v>
      </c>
      <c r="AB50" s="22">
        <f t="shared" si="375"/>
        <v>0</v>
      </c>
      <c r="AC50" s="22"/>
      <c r="AD50" s="22">
        <f t="shared" si="245"/>
        <v>0</v>
      </c>
      <c r="AE50" s="22">
        <f t="shared" si="376"/>
        <v>0</v>
      </c>
      <c r="AF50" s="22">
        <v>1</v>
      </c>
      <c r="AG50" s="22">
        <f t="shared" si="247"/>
        <v>4</v>
      </c>
      <c r="AH50" s="22">
        <f t="shared" si="377"/>
        <v>0</v>
      </c>
      <c r="AI50" s="22"/>
      <c r="AJ50" s="22">
        <f t="shared" si="249"/>
        <v>0</v>
      </c>
      <c r="AK50" s="22">
        <f t="shared" si="378"/>
        <v>0</v>
      </c>
      <c r="AL50" s="22"/>
      <c r="AM50" s="22">
        <f t="shared" si="251"/>
        <v>0</v>
      </c>
      <c r="AN50" s="22">
        <f t="shared" si="379"/>
        <v>0</v>
      </c>
      <c r="AO50" s="22"/>
      <c r="AP50" s="22">
        <f t="shared" si="253"/>
        <v>0</v>
      </c>
      <c r="AQ50" s="22">
        <f t="shared" si="380"/>
        <v>0</v>
      </c>
      <c r="AR50" s="22"/>
      <c r="AS50" s="22">
        <f t="shared" si="255"/>
        <v>0</v>
      </c>
      <c r="AT50" s="22">
        <f t="shared" si="381"/>
        <v>0</v>
      </c>
      <c r="AU50" s="22"/>
      <c r="AV50" s="22">
        <f t="shared" si="257"/>
        <v>0</v>
      </c>
      <c r="AW50" s="22">
        <f t="shared" si="382"/>
        <v>0</v>
      </c>
      <c r="AX50" s="22"/>
      <c r="AY50" s="22">
        <f t="shared" si="259"/>
        <v>0</v>
      </c>
      <c r="AZ50" s="22">
        <f t="shared" si="383"/>
        <v>0</v>
      </c>
      <c r="BA50" s="22"/>
      <c r="BB50" s="22">
        <f t="shared" si="261"/>
        <v>0</v>
      </c>
      <c r="BC50" s="22">
        <f t="shared" si="384"/>
        <v>0</v>
      </c>
      <c r="BD50" s="22"/>
      <c r="BE50" s="22">
        <f t="shared" si="263"/>
        <v>0</v>
      </c>
      <c r="BF50" s="22">
        <f t="shared" si="385"/>
        <v>0</v>
      </c>
      <c r="BG50" s="22"/>
      <c r="BH50" s="22">
        <f t="shared" si="265"/>
        <v>0</v>
      </c>
      <c r="BI50" s="22">
        <f t="shared" si="386"/>
        <v>0</v>
      </c>
      <c r="BJ50" s="22"/>
      <c r="BK50" s="22">
        <f t="shared" si="267"/>
        <v>0</v>
      </c>
      <c r="BL50" s="22">
        <f t="shared" si="387"/>
        <v>0</v>
      </c>
      <c r="BM50" s="22"/>
      <c r="BN50" s="22">
        <f t="shared" si="269"/>
        <v>0</v>
      </c>
      <c r="BO50" s="22">
        <f t="shared" si="388"/>
        <v>0</v>
      </c>
      <c r="BP50" s="22"/>
      <c r="BQ50" s="22">
        <f t="shared" si="271"/>
        <v>0</v>
      </c>
      <c r="BR50" s="22">
        <f t="shared" si="389"/>
        <v>0</v>
      </c>
      <c r="BS50" s="22"/>
      <c r="BT50" s="22">
        <f t="shared" si="273"/>
        <v>0</v>
      </c>
      <c r="BU50" s="22">
        <f t="shared" si="390"/>
        <v>0</v>
      </c>
      <c r="BV50" s="22"/>
      <c r="BW50" s="22">
        <f t="shared" si="275"/>
        <v>0</v>
      </c>
      <c r="BX50" s="22">
        <f t="shared" si="391"/>
        <v>0</v>
      </c>
      <c r="BY50" s="22"/>
      <c r="BZ50" s="22">
        <f t="shared" si="277"/>
        <v>0</v>
      </c>
      <c r="CA50" s="22">
        <f t="shared" si="392"/>
        <v>0</v>
      </c>
      <c r="CB50" s="22"/>
      <c r="CC50" s="22">
        <f t="shared" si="279"/>
        <v>0</v>
      </c>
      <c r="CD50" s="22">
        <f t="shared" si="393"/>
        <v>0</v>
      </c>
      <c r="CE50" s="22"/>
      <c r="CF50" s="22">
        <f t="shared" si="281"/>
        <v>0</v>
      </c>
      <c r="CG50" s="22">
        <f t="shared" si="394"/>
        <v>0</v>
      </c>
      <c r="CH50" s="22"/>
      <c r="CI50" s="22">
        <f t="shared" si="283"/>
        <v>0</v>
      </c>
      <c r="CJ50" s="22">
        <f t="shared" si="395"/>
        <v>0</v>
      </c>
      <c r="CK50" s="22"/>
      <c r="CL50" s="22">
        <f t="shared" si="285"/>
        <v>0</v>
      </c>
      <c r="CM50" s="22">
        <f t="shared" si="396"/>
        <v>0</v>
      </c>
      <c r="CN50" s="22"/>
      <c r="CO50" s="22">
        <f t="shared" si="287"/>
        <v>0</v>
      </c>
      <c r="CP50" s="22">
        <f t="shared" si="397"/>
        <v>0</v>
      </c>
      <c r="CQ50" s="22"/>
      <c r="CR50" s="22">
        <f t="shared" si="289"/>
        <v>0</v>
      </c>
      <c r="CS50" s="22">
        <f t="shared" si="398"/>
        <v>0</v>
      </c>
      <c r="CT50" s="22"/>
      <c r="CU50" s="22">
        <f t="shared" si="291"/>
        <v>0</v>
      </c>
      <c r="CV50" s="22">
        <f t="shared" si="399"/>
        <v>0</v>
      </c>
      <c r="CW50" s="22"/>
      <c r="CX50" s="22">
        <f t="shared" si="293"/>
        <v>0</v>
      </c>
      <c r="CY50" s="22">
        <f t="shared" si="400"/>
        <v>0</v>
      </c>
      <c r="CZ50" s="22"/>
      <c r="DA50" s="22">
        <f t="shared" si="295"/>
        <v>0</v>
      </c>
      <c r="DB50" s="22">
        <f t="shared" si="401"/>
        <v>0</v>
      </c>
      <c r="DC50" s="22"/>
      <c r="DD50" s="22">
        <f t="shared" si="297"/>
        <v>0</v>
      </c>
      <c r="DE50" s="22">
        <f t="shared" si="402"/>
        <v>0</v>
      </c>
      <c r="DF50" s="22"/>
      <c r="DG50" s="22">
        <f t="shared" si="299"/>
        <v>0</v>
      </c>
      <c r="DH50" s="22">
        <f t="shared" si="403"/>
        <v>0</v>
      </c>
      <c r="DI50" s="22"/>
      <c r="DJ50" s="22">
        <f t="shared" si="301"/>
        <v>0</v>
      </c>
      <c r="DK50" s="22">
        <f t="shared" si="404"/>
        <v>0</v>
      </c>
      <c r="DL50" s="22"/>
      <c r="DM50" s="22">
        <f t="shared" si="303"/>
        <v>0</v>
      </c>
      <c r="DN50" s="22">
        <f t="shared" si="405"/>
        <v>0</v>
      </c>
      <c r="DO50" s="22"/>
      <c r="DP50" s="22">
        <f t="shared" si="305"/>
        <v>0</v>
      </c>
      <c r="DQ50" s="22">
        <f t="shared" si="406"/>
        <v>0</v>
      </c>
      <c r="DR50" s="22"/>
      <c r="DS50" s="22">
        <f t="shared" si="307"/>
        <v>0</v>
      </c>
      <c r="DT50" s="22">
        <f t="shared" si="407"/>
        <v>0</v>
      </c>
      <c r="DU50" s="22"/>
      <c r="DV50" s="22">
        <f t="shared" si="309"/>
        <v>0</v>
      </c>
      <c r="DW50" s="22">
        <f t="shared" si="408"/>
        <v>0</v>
      </c>
      <c r="DX50" s="22"/>
      <c r="DY50" s="22">
        <f t="shared" si="311"/>
        <v>0</v>
      </c>
      <c r="DZ50" s="22">
        <f t="shared" si="409"/>
        <v>0</v>
      </c>
      <c r="EA50" s="22"/>
      <c r="EB50" s="22">
        <f t="shared" si="313"/>
        <v>0</v>
      </c>
      <c r="EC50" s="22">
        <f t="shared" si="410"/>
        <v>0</v>
      </c>
      <c r="ED50" s="22"/>
      <c r="EE50" s="22">
        <f t="shared" si="315"/>
        <v>0</v>
      </c>
      <c r="EF50" s="22">
        <f t="shared" si="411"/>
        <v>0</v>
      </c>
      <c r="EG50" s="22"/>
      <c r="EH50" s="22">
        <f t="shared" si="317"/>
        <v>0</v>
      </c>
      <c r="EI50" s="22">
        <f t="shared" si="412"/>
        <v>0</v>
      </c>
      <c r="EJ50" s="22"/>
      <c r="EK50" s="22">
        <f t="shared" si="319"/>
        <v>0</v>
      </c>
      <c r="EL50" s="22">
        <f t="shared" si="413"/>
        <v>0</v>
      </c>
      <c r="EM50" s="22"/>
      <c r="EN50" s="22">
        <f t="shared" si="321"/>
        <v>0</v>
      </c>
      <c r="EO50" s="22">
        <f t="shared" si="414"/>
        <v>0</v>
      </c>
    </row>
    <row r="51" spans="1:145">
      <c r="A51" s="15">
        <v>46</v>
      </c>
      <c r="B51" s="15" t="s">
        <v>556</v>
      </c>
      <c r="C51" s="16" t="s">
        <v>401</v>
      </c>
      <c r="D51" s="15" t="s">
        <v>557</v>
      </c>
      <c r="E51" s="15" t="s">
        <v>380</v>
      </c>
      <c r="F51" s="19">
        <f t="shared" si="0"/>
        <v>1</v>
      </c>
      <c r="G51" s="20"/>
      <c r="H51" s="21"/>
      <c r="I51" s="22">
        <f t="shared" si="231"/>
        <v>0</v>
      </c>
      <c r="J51" s="22">
        <f t="shared" si="369"/>
        <v>0</v>
      </c>
      <c r="K51" s="22"/>
      <c r="L51" s="22">
        <f t="shared" si="233"/>
        <v>0</v>
      </c>
      <c r="M51" s="22">
        <f t="shared" si="370"/>
        <v>0</v>
      </c>
      <c r="N51" s="22"/>
      <c r="O51" s="22">
        <f t="shared" si="235"/>
        <v>0</v>
      </c>
      <c r="P51" s="22">
        <f t="shared" si="371"/>
        <v>0</v>
      </c>
      <c r="Q51" s="22"/>
      <c r="R51" s="22">
        <f t="shared" si="237"/>
        <v>0</v>
      </c>
      <c r="S51" s="22">
        <f t="shared" si="372"/>
        <v>0</v>
      </c>
      <c r="T51" s="22"/>
      <c r="U51" s="22">
        <f t="shared" si="239"/>
        <v>0</v>
      </c>
      <c r="V51" s="22">
        <f t="shared" si="373"/>
        <v>0</v>
      </c>
      <c r="W51" s="22"/>
      <c r="X51" s="22">
        <f t="shared" si="241"/>
        <v>0</v>
      </c>
      <c r="Y51" s="22">
        <f t="shared" si="374"/>
        <v>0</v>
      </c>
      <c r="Z51" s="22"/>
      <c r="AA51" s="22">
        <f t="shared" si="243"/>
        <v>0</v>
      </c>
      <c r="AB51" s="22">
        <f t="shared" si="375"/>
        <v>0</v>
      </c>
      <c r="AC51" s="22"/>
      <c r="AD51" s="22">
        <f t="shared" si="245"/>
        <v>0</v>
      </c>
      <c r="AE51" s="22">
        <f t="shared" si="376"/>
        <v>0</v>
      </c>
      <c r="AF51" s="22"/>
      <c r="AG51" s="22">
        <f t="shared" si="247"/>
        <v>0</v>
      </c>
      <c r="AH51" s="22">
        <f t="shared" si="377"/>
        <v>0</v>
      </c>
      <c r="AI51" s="22">
        <v>1</v>
      </c>
      <c r="AJ51" s="22">
        <f t="shared" si="249"/>
        <v>1</v>
      </c>
      <c r="AK51" s="22">
        <f t="shared" si="378"/>
        <v>0</v>
      </c>
      <c r="AL51" s="22"/>
      <c r="AM51" s="22">
        <f t="shared" si="251"/>
        <v>0</v>
      </c>
      <c r="AN51" s="22">
        <f t="shared" si="379"/>
        <v>0</v>
      </c>
      <c r="AO51" s="22"/>
      <c r="AP51" s="22">
        <f t="shared" si="253"/>
        <v>0</v>
      </c>
      <c r="AQ51" s="22">
        <f t="shared" si="380"/>
        <v>0</v>
      </c>
      <c r="AR51" s="22"/>
      <c r="AS51" s="22">
        <f t="shared" si="255"/>
        <v>0</v>
      </c>
      <c r="AT51" s="22">
        <f t="shared" si="381"/>
        <v>0</v>
      </c>
      <c r="AU51" s="22"/>
      <c r="AV51" s="22">
        <f t="shared" si="257"/>
        <v>0</v>
      </c>
      <c r="AW51" s="22">
        <f t="shared" si="382"/>
        <v>0</v>
      </c>
      <c r="AX51" s="22"/>
      <c r="AY51" s="22">
        <f t="shared" si="259"/>
        <v>0</v>
      </c>
      <c r="AZ51" s="22">
        <f t="shared" si="383"/>
        <v>0</v>
      </c>
      <c r="BA51" s="22"/>
      <c r="BB51" s="22">
        <f t="shared" si="261"/>
        <v>0</v>
      </c>
      <c r="BC51" s="22">
        <f t="shared" si="384"/>
        <v>0</v>
      </c>
      <c r="BD51" s="22"/>
      <c r="BE51" s="22">
        <f t="shared" si="263"/>
        <v>0</v>
      </c>
      <c r="BF51" s="22">
        <f t="shared" si="385"/>
        <v>0</v>
      </c>
      <c r="BG51" s="22"/>
      <c r="BH51" s="22">
        <f t="shared" si="265"/>
        <v>0</v>
      </c>
      <c r="BI51" s="22">
        <f t="shared" si="386"/>
        <v>0</v>
      </c>
      <c r="BJ51" s="22"/>
      <c r="BK51" s="22">
        <f t="shared" si="267"/>
        <v>0</v>
      </c>
      <c r="BL51" s="22">
        <f t="shared" si="387"/>
        <v>0</v>
      </c>
      <c r="BM51" s="22"/>
      <c r="BN51" s="22">
        <f t="shared" si="269"/>
        <v>0</v>
      </c>
      <c r="BO51" s="22">
        <f t="shared" si="388"/>
        <v>0</v>
      </c>
      <c r="BP51" s="22"/>
      <c r="BQ51" s="22">
        <f t="shared" si="271"/>
        <v>0</v>
      </c>
      <c r="BR51" s="22">
        <f t="shared" si="389"/>
        <v>0</v>
      </c>
      <c r="BS51" s="22"/>
      <c r="BT51" s="22">
        <f t="shared" si="273"/>
        <v>0</v>
      </c>
      <c r="BU51" s="22">
        <f t="shared" si="390"/>
        <v>0</v>
      </c>
      <c r="BV51" s="22"/>
      <c r="BW51" s="22">
        <f t="shared" si="275"/>
        <v>0</v>
      </c>
      <c r="BX51" s="22">
        <f t="shared" si="391"/>
        <v>0</v>
      </c>
      <c r="BY51" s="22"/>
      <c r="BZ51" s="22">
        <f t="shared" si="277"/>
        <v>0</v>
      </c>
      <c r="CA51" s="22">
        <f t="shared" si="392"/>
        <v>0</v>
      </c>
      <c r="CB51" s="22"/>
      <c r="CC51" s="22">
        <f t="shared" si="279"/>
        <v>0</v>
      </c>
      <c r="CD51" s="22">
        <f t="shared" si="393"/>
        <v>0</v>
      </c>
      <c r="CE51" s="22"/>
      <c r="CF51" s="22">
        <f t="shared" si="281"/>
        <v>0</v>
      </c>
      <c r="CG51" s="22">
        <f t="shared" si="394"/>
        <v>0</v>
      </c>
      <c r="CH51" s="22"/>
      <c r="CI51" s="22">
        <f t="shared" si="283"/>
        <v>0</v>
      </c>
      <c r="CJ51" s="22">
        <f t="shared" si="395"/>
        <v>0</v>
      </c>
      <c r="CK51" s="22"/>
      <c r="CL51" s="22">
        <f t="shared" si="285"/>
        <v>0</v>
      </c>
      <c r="CM51" s="22">
        <f t="shared" si="396"/>
        <v>0</v>
      </c>
      <c r="CN51" s="22"/>
      <c r="CO51" s="22">
        <f t="shared" si="287"/>
        <v>0</v>
      </c>
      <c r="CP51" s="22">
        <f t="shared" si="397"/>
        <v>0</v>
      </c>
      <c r="CQ51" s="22"/>
      <c r="CR51" s="22">
        <f t="shared" si="289"/>
        <v>0</v>
      </c>
      <c r="CS51" s="22">
        <f t="shared" si="398"/>
        <v>0</v>
      </c>
      <c r="CT51" s="22"/>
      <c r="CU51" s="22">
        <f t="shared" si="291"/>
        <v>0</v>
      </c>
      <c r="CV51" s="22">
        <f t="shared" si="399"/>
        <v>0</v>
      </c>
      <c r="CW51" s="22"/>
      <c r="CX51" s="22">
        <f t="shared" si="293"/>
        <v>0</v>
      </c>
      <c r="CY51" s="22">
        <f t="shared" si="400"/>
        <v>0</v>
      </c>
      <c r="CZ51" s="22"/>
      <c r="DA51" s="22">
        <f t="shared" si="295"/>
        <v>0</v>
      </c>
      <c r="DB51" s="22">
        <f t="shared" si="401"/>
        <v>0</v>
      </c>
      <c r="DC51" s="22"/>
      <c r="DD51" s="22">
        <f t="shared" si="297"/>
        <v>0</v>
      </c>
      <c r="DE51" s="22">
        <f t="shared" si="402"/>
        <v>0</v>
      </c>
      <c r="DF51" s="22"/>
      <c r="DG51" s="22">
        <f t="shared" si="299"/>
        <v>0</v>
      </c>
      <c r="DH51" s="22">
        <f t="shared" si="403"/>
        <v>0</v>
      </c>
      <c r="DI51" s="22"/>
      <c r="DJ51" s="22">
        <f t="shared" si="301"/>
        <v>0</v>
      </c>
      <c r="DK51" s="22">
        <f t="shared" si="404"/>
        <v>0</v>
      </c>
      <c r="DL51" s="22"/>
      <c r="DM51" s="22">
        <f t="shared" si="303"/>
        <v>0</v>
      </c>
      <c r="DN51" s="22">
        <f t="shared" si="405"/>
        <v>0</v>
      </c>
      <c r="DO51" s="22"/>
      <c r="DP51" s="22">
        <f t="shared" si="305"/>
        <v>0</v>
      </c>
      <c r="DQ51" s="22">
        <f t="shared" si="406"/>
        <v>0</v>
      </c>
      <c r="DR51" s="22"/>
      <c r="DS51" s="22">
        <f t="shared" si="307"/>
        <v>0</v>
      </c>
      <c r="DT51" s="22">
        <f t="shared" si="407"/>
        <v>0</v>
      </c>
      <c r="DU51" s="22"/>
      <c r="DV51" s="22">
        <f t="shared" si="309"/>
        <v>0</v>
      </c>
      <c r="DW51" s="22">
        <f t="shared" si="408"/>
        <v>0</v>
      </c>
      <c r="DX51" s="22"/>
      <c r="DY51" s="22">
        <f t="shared" si="311"/>
        <v>0</v>
      </c>
      <c r="DZ51" s="22">
        <f t="shared" si="409"/>
        <v>0</v>
      </c>
      <c r="EA51" s="22"/>
      <c r="EB51" s="22">
        <f t="shared" si="313"/>
        <v>0</v>
      </c>
      <c r="EC51" s="22">
        <f t="shared" si="410"/>
        <v>0</v>
      </c>
      <c r="ED51" s="22"/>
      <c r="EE51" s="22">
        <f t="shared" si="315"/>
        <v>0</v>
      </c>
      <c r="EF51" s="22">
        <f t="shared" si="411"/>
        <v>0</v>
      </c>
      <c r="EG51" s="22"/>
      <c r="EH51" s="22">
        <f t="shared" si="317"/>
        <v>0</v>
      </c>
      <c r="EI51" s="22">
        <f t="shared" si="412"/>
        <v>0</v>
      </c>
      <c r="EJ51" s="22"/>
      <c r="EK51" s="22">
        <f t="shared" si="319"/>
        <v>0</v>
      </c>
      <c r="EL51" s="22">
        <f t="shared" si="413"/>
        <v>0</v>
      </c>
      <c r="EM51" s="22"/>
      <c r="EN51" s="22">
        <f t="shared" si="321"/>
        <v>0</v>
      </c>
      <c r="EO51" s="22">
        <f t="shared" si="414"/>
        <v>0</v>
      </c>
    </row>
    <row r="52" spans="1:145">
      <c r="A52" s="15">
        <v>47</v>
      </c>
      <c r="B52" s="15" t="s">
        <v>542</v>
      </c>
      <c r="C52" s="16" t="s">
        <v>414</v>
      </c>
      <c r="D52" s="15" t="s">
        <v>554</v>
      </c>
      <c r="E52" s="15" t="s">
        <v>416</v>
      </c>
      <c r="F52" s="19">
        <f t="shared" si="0"/>
        <v>1</v>
      </c>
      <c r="G52" s="20"/>
      <c r="H52" s="21"/>
      <c r="I52" s="22">
        <f t="shared" si="231"/>
        <v>0</v>
      </c>
      <c r="J52" s="22">
        <f t="shared" si="369"/>
        <v>0</v>
      </c>
      <c r="K52" s="22"/>
      <c r="L52" s="22">
        <f t="shared" si="233"/>
        <v>0</v>
      </c>
      <c r="M52" s="22">
        <f t="shared" si="370"/>
        <v>0</v>
      </c>
      <c r="N52" s="22"/>
      <c r="O52" s="22">
        <f t="shared" si="235"/>
        <v>0</v>
      </c>
      <c r="P52" s="22">
        <f t="shared" si="371"/>
        <v>0</v>
      </c>
      <c r="Q52" s="22"/>
      <c r="R52" s="22">
        <f t="shared" si="237"/>
        <v>0</v>
      </c>
      <c r="S52" s="22">
        <f t="shared" si="372"/>
        <v>0</v>
      </c>
      <c r="T52" s="22"/>
      <c r="U52" s="22">
        <f t="shared" si="239"/>
        <v>0</v>
      </c>
      <c r="V52" s="22">
        <f t="shared" si="373"/>
        <v>0</v>
      </c>
      <c r="W52" s="22"/>
      <c r="X52" s="22">
        <f t="shared" si="241"/>
        <v>0</v>
      </c>
      <c r="Y52" s="22">
        <f t="shared" si="374"/>
        <v>0</v>
      </c>
      <c r="Z52" s="22"/>
      <c r="AA52" s="22">
        <f t="shared" si="243"/>
        <v>0</v>
      </c>
      <c r="AB52" s="22">
        <f t="shared" si="375"/>
        <v>0</v>
      </c>
      <c r="AC52" s="22"/>
      <c r="AD52" s="22">
        <f t="shared" si="245"/>
        <v>0</v>
      </c>
      <c r="AE52" s="22">
        <f t="shared" si="376"/>
        <v>0</v>
      </c>
      <c r="AF52" s="22"/>
      <c r="AG52" s="22">
        <f t="shared" si="247"/>
        <v>0</v>
      </c>
      <c r="AH52" s="22">
        <f t="shared" si="377"/>
        <v>0</v>
      </c>
      <c r="AI52" s="22">
        <v>1</v>
      </c>
      <c r="AJ52" s="22">
        <f t="shared" si="249"/>
        <v>1</v>
      </c>
      <c r="AK52" s="22">
        <f t="shared" si="378"/>
        <v>0</v>
      </c>
      <c r="AL52" s="22"/>
      <c r="AM52" s="22">
        <f t="shared" si="251"/>
        <v>0</v>
      </c>
      <c r="AN52" s="22">
        <f t="shared" si="379"/>
        <v>0</v>
      </c>
      <c r="AO52" s="22"/>
      <c r="AP52" s="22">
        <f t="shared" si="253"/>
        <v>0</v>
      </c>
      <c r="AQ52" s="22">
        <f t="shared" si="380"/>
        <v>0</v>
      </c>
      <c r="AR52" s="22"/>
      <c r="AS52" s="22">
        <f t="shared" si="255"/>
        <v>0</v>
      </c>
      <c r="AT52" s="22">
        <f t="shared" si="381"/>
        <v>0</v>
      </c>
      <c r="AU52" s="22"/>
      <c r="AV52" s="22">
        <f t="shared" si="257"/>
        <v>0</v>
      </c>
      <c r="AW52" s="22">
        <f t="shared" si="382"/>
        <v>0</v>
      </c>
      <c r="AX52" s="22"/>
      <c r="AY52" s="22">
        <f t="shared" si="259"/>
        <v>0</v>
      </c>
      <c r="AZ52" s="22">
        <f t="shared" si="383"/>
        <v>0</v>
      </c>
      <c r="BA52" s="22"/>
      <c r="BB52" s="22">
        <f t="shared" si="261"/>
        <v>0</v>
      </c>
      <c r="BC52" s="22">
        <f t="shared" si="384"/>
        <v>0</v>
      </c>
      <c r="BD52" s="22"/>
      <c r="BE52" s="22">
        <f t="shared" si="263"/>
        <v>0</v>
      </c>
      <c r="BF52" s="22">
        <f t="shared" si="385"/>
        <v>0</v>
      </c>
      <c r="BG52" s="22"/>
      <c r="BH52" s="22">
        <f t="shared" si="265"/>
        <v>0</v>
      </c>
      <c r="BI52" s="22">
        <f t="shared" si="386"/>
        <v>0</v>
      </c>
      <c r="BJ52" s="22"/>
      <c r="BK52" s="22">
        <f t="shared" si="267"/>
        <v>0</v>
      </c>
      <c r="BL52" s="22">
        <f t="shared" si="387"/>
        <v>0</v>
      </c>
      <c r="BM52" s="22"/>
      <c r="BN52" s="22">
        <f t="shared" si="269"/>
        <v>0</v>
      </c>
      <c r="BO52" s="22">
        <f t="shared" si="388"/>
        <v>0</v>
      </c>
      <c r="BP52" s="22"/>
      <c r="BQ52" s="22">
        <f t="shared" si="271"/>
        <v>0</v>
      </c>
      <c r="BR52" s="22">
        <f t="shared" si="389"/>
        <v>0</v>
      </c>
      <c r="BS52" s="22"/>
      <c r="BT52" s="22">
        <f t="shared" si="273"/>
        <v>0</v>
      </c>
      <c r="BU52" s="22">
        <f t="shared" si="390"/>
        <v>0</v>
      </c>
      <c r="BV52" s="22"/>
      <c r="BW52" s="22">
        <f t="shared" si="275"/>
        <v>0</v>
      </c>
      <c r="BX52" s="22">
        <f t="shared" si="391"/>
        <v>0</v>
      </c>
      <c r="BY52" s="22"/>
      <c r="BZ52" s="22">
        <f t="shared" si="277"/>
        <v>0</v>
      </c>
      <c r="CA52" s="22">
        <f t="shared" si="392"/>
        <v>0</v>
      </c>
      <c r="CB52" s="22"/>
      <c r="CC52" s="22">
        <f t="shared" si="279"/>
        <v>0</v>
      </c>
      <c r="CD52" s="22">
        <f t="shared" si="393"/>
        <v>0</v>
      </c>
      <c r="CE52" s="22"/>
      <c r="CF52" s="22">
        <f t="shared" si="281"/>
        <v>0</v>
      </c>
      <c r="CG52" s="22">
        <f t="shared" si="394"/>
        <v>0</v>
      </c>
      <c r="CH52" s="22"/>
      <c r="CI52" s="22">
        <f t="shared" si="283"/>
        <v>0</v>
      </c>
      <c r="CJ52" s="22">
        <f t="shared" si="395"/>
        <v>0</v>
      </c>
      <c r="CK52" s="22"/>
      <c r="CL52" s="22">
        <f t="shared" si="285"/>
        <v>0</v>
      </c>
      <c r="CM52" s="22">
        <f t="shared" si="396"/>
        <v>0</v>
      </c>
      <c r="CN52" s="22"/>
      <c r="CO52" s="22">
        <f t="shared" si="287"/>
        <v>0</v>
      </c>
      <c r="CP52" s="22">
        <f t="shared" si="397"/>
        <v>0</v>
      </c>
      <c r="CQ52" s="22"/>
      <c r="CR52" s="22">
        <f t="shared" si="289"/>
        <v>0</v>
      </c>
      <c r="CS52" s="22">
        <f t="shared" si="398"/>
        <v>0</v>
      </c>
      <c r="CT52" s="22"/>
      <c r="CU52" s="22">
        <f t="shared" si="291"/>
        <v>0</v>
      </c>
      <c r="CV52" s="22">
        <f t="shared" si="399"/>
        <v>0</v>
      </c>
      <c r="CW52" s="22"/>
      <c r="CX52" s="22">
        <f t="shared" si="293"/>
        <v>0</v>
      </c>
      <c r="CY52" s="22">
        <f t="shared" si="400"/>
        <v>0</v>
      </c>
      <c r="CZ52" s="22"/>
      <c r="DA52" s="22">
        <f t="shared" si="295"/>
        <v>0</v>
      </c>
      <c r="DB52" s="22">
        <f t="shared" si="401"/>
        <v>0</v>
      </c>
      <c r="DC52" s="22"/>
      <c r="DD52" s="22">
        <f t="shared" si="297"/>
        <v>0</v>
      </c>
      <c r="DE52" s="22">
        <f t="shared" si="402"/>
        <v>0</v>
      </c>
      <c r="DF52" s="22"/>
      <c r="DG52" s="22">
        <f t="shared" si="299"/>
        <v>0</v>
      </c>
      <c r="DH52" s="22">
        <f t="shared" si="403"/>
        <v>0</v>
      </c>
      <c r="DI52" s="22"/>
      <c r="DJ52" s="22">
        <f t="shared" si="301"/>
        <v>0</v>
      </c>
      <c r="DK52" s="22">
        <f t="shared" si="404"/>
        <v>0</v>
      </c>
      <c r="DL52" s="22"/>
      <c r="DM52" s="22">
        <f t="shared" si="303"/>
        <v>0</v>
      </c>
      <c r="DN52" s="22">
        <f t="shared" si="405"/>
        <v>0</v>
      </c>
      <c r="DO52" s="22"/>
      <c r="DP52" s="22">
        <f t="shared" si="305"/>
        <v>0</v>
      </c>
      <c r="DQ52" s="22">
        <f t="shared" si="406"/>
        <v>0</v>
      </c>
      <c r="DR52" s="22"/>
      <c r="DS52" s="22">
        <f t="shared" si="307"/>
        <v>0</v>
      </c>
      <c r="DT52" s="22">
        <f t="shared" si="407"/>
        <v>0</v>
      </c>
      <c r="DU52" s="22"/>
      <c r="DV52" s="22">
        <f t="shared" si="309"/>
        <v>0</v>
      </c>
      <c r="DW52" s="22">
        <f t="shared" si="408"/>
        <v>0</v>
      </c>
      <c r="DX52" s="22"/>
      <c r="DY52" s="22">
        <f t="shared" si="311"/>
        <v>0</v>
      </c>
      <c r="DZ52" s="22">
        <f t="shared" si="409"/>
        <v>0</v>
      </c>
      <c r="EA52" s="22"/>
      <c r="EB52" s="22">
        <f t="shared" si="313"/>
        <v>0</v>
      </c>
      <c r="EC52" s="22">
        <f t="shared" si="410"/>
        <v>0</v>
      </c>
      <c r="ED52" s="22"/>
      <c r="EE52" s="22">
        <f t="shared" si="315"/>
        <v>0</v>
      </c>
      <c r="EF52" s="22">
        <f t="shared" si="411"/>
        <v>0</v>
      </c>
      <c r="EG52" s="22"/>
      <c r="EH52" s="22">
        <f t="shared" si="317"/>
        <v>0</v>
      </c>
      <c r="EI52" s="22">
        <f t="shared" si="412"/>
        <v>0</v>
      </c>
      <c r="EJ52" s="22"/>
      <c r="EK52" s="22">
        <f t="shared" si="319"/>
        <v>0</v>
      </c>
      <c r="EL52" s="22">
        <f t="shared" si="413"/>
        <v>0</v>
      </c>
      <c r="EM52" s="22"/>
      <c r="EN52" s="22">
        <f t="shared" si="321"/>
        <v>0</v>
      </c>
      <c r="EO52" s="22">
        <f t="shared" si="414"/>
        <v>0</v>
      </c>
    </row>
    <row r="53" spans="1:145">
      <c r="A53" s="15">
        <v>48</v>
      </c>
      <c r="B53" s="15" t="s">
        <v>548</v>
      </c>
      <c r="C53" s="16" t="s">
        <v>374</v>
      </c>
      <c r="D53" s="16" t="s">
        <v>526</v>
      </c>
      <c r="E53" s="15" t="s">
        <v>376</v>
      </c>
      <c r="F53" s="19">
        <f t="shared" si="0"/>
        <v>1</v>
      </c>
      <c r="G53" s="20"/>
      <c r="H53" s="21"/>
      <c r="I53" s="22">
        <f t="shared" si="231"/>
        <v>0</v>
      </c>
      <c r="J53" s="22">
        <f t="shared" si="369"/>
        <v>0</v>
      </c>
      <c r="K53" s="22"/>
      <c r="L53" s="22">
        <f t="shared" si="233"/>
        <v>0</v>
      </c>
      <c r="M53" s="22">
        <f t="shared" si="370"/>
        <v>0</v>
      </c>
      <c r="N53" s="22"/>
      <c r="O53" s="22">
        <f t="shared" si="235"/>
        <v>0</v>
      </c>
      <c r="P53" s="22">
        <f t="shared" si="371"/>
        <v>0</v>
      </c>
      <c r="Q53" s="22"/>
      <c r="R53" s="22">
        <f t="shared" si="237"/>
        <v>0</v>
      </c>
      <c r="S53" s="22">
        <f t="shared" si="372"/>
        <v>0</v>
      </c>
      <c r="T53" s="22"/>
      <c r="U53" s="22">
        <f t="shared" si="239"/>
        <v>0</v>
      </c>
      <c r="V53" s="22">
        <f t="shared" si="373"/>
        <v>0</v>
      </c>
      <c r="W53" s="22"/>
      <c r="X53" s="22">
        <f t="shared" si="241"/>
        <v>0</v>
      </c>
      <c r="Y53" s="22">
        <f t="shared" si="374"/>
        <v>0</v>
      </c>
      <c r="Z53" s="22"/>
      <c r="AA53" s="22">
        <f t="shared" si="243"/>
        <v>0</v>
      </c>
      <c r="AB53" s="22">
        <f t="shared" si="375"/>
        <v>0</v>
      </c>
      <c r="AC53" s="22"/>
      <c r="AD53" s="22">
        <f t="shared" si="245"/>
        <v>0</v>
      </c>
      <c r="AE53" s="22">
        <f t="shared" si="376"/>
        <v>0</v>
      </c>
      <c r="AF53" s="22"/>
      <c r="AG53" s="22">
        <f t="shared" si="247"/>
        <v>0</v>
      </c>
      <c r="AH53" s="22">
        <f t="shared" si="377"/>
        <v>0</v>
      </c>
      <c r="AI53" s="22">
        <v>1</v>
      </c>
      <c r="AJ53" s="22">
        <f t="shared" si="249"/>
        <v>1</v>
      </c>
      <c r="AK53" s="22">
        <f t="shared" si="378"/>
        <v>0</v>
      </c>
      <c r="AL53" s="22"/>
      <c r="AM53" s="22">
        <f t="shared" si="251"/>
        <v>0</v>
      </c>
      <c r="AN53" s="22">
        <f t="shared" si="379"/>
        <v>0</v>
      </c>
      <c r="AO53" s="22"/>
      <c r="AP53" s="22">
        <f t="shared" si="253"/>
        <v>0</v>
      </c>
      <c r="AQ53" s="22">
        <f t="shared" si="380"/>
        <v>0</v>
      </c>
      <c r="AR53" s="22"/>
      <c r="AS53" s="22">
        <f t="shared" si="255"/>
        <v>0</v>
      </c>
      <c r="AT53" s="22">
        <f t="shared" si="381"/>
        <v>0</v>
      </c>
      <c r="AU53" s="22"/>
      <c r="AV53" s="22">
        <f t="shared" si="257"/>
        <v>0</v>
      </c>
      <c r="AW53" s="22">
        <f t="shared" si="382"/>
        <v>0</v>
      </c>
      <c r="AX53" s="22"/>
      <c r="AY53" s="22">
        <f t="shared" si="259"/>
        <v>0</v>
      </c>
      <c r="AZ53" s="22">
        <f t="shared" si="383"/>
        <v>0</v>
      </c>
      <c r="BA53" s="22"/>
      <c r="BB53" s="22">
        <f t="shared" si="261"/>
        <v>0</v>
      </c>
      <c r="BC53" s="22">
        <f t="shared" si="384"/>
        <v>0</v>
      </c>
      <c r="BD53" s="22"/>
      <c r="BE53" s="22">
        <f t="shared" si="263"/>
        <v>0</v>
      </c>
      <c r="BF53" s="22">
        <f t="shared" si="385"/>
        <v>0</v>
      </c>
      <c r="BG53" s="22"/>
      <c r="BH53" s="22">
        <f t="shared" si="265"/>
        <v>0</v>
      </c>
      <c r="BI53" s="22">
        <f t="shared" si="386"/>
        <v>0</v>
      </c>
      <c r="BJ53" s="22"/>
      <c r="BK53" s="22">
        <f t="shared" si="267"/>
        <v>0</v>
      </c>
      <c r="BL53" s="22">
        <f t="shared" si="387"/>
        <v>0</v>
      </c>
      <c r="BM53" s="22"/>
      <c r="BN53" s="22">
        <f t="shared" si="269"/>
        <v>0</v>
      </c>
      <c r="BO53" s="22">
        <f t="shared" si="388"/>
        <v>0</v>
      </c>
      <c r="BP53" s="22"/>
      <c r="BQ53" s="22">
        <f t="shared" si="271"/>
        <v>0</v>
      </c>
      <c r="BR53" s="22">
        <f t="shared" si="389"/>
        <v>0</v>
      </c>
      <c r="BS53" s="22"/>
      <c r="BT53" s="22">
        <f t="shared" si="273"/>
        <v>0</v>
      </c>
      <c r="BU53" s="22">
        <f t="shared" si="390"/>
        <v>0</v>
      </c>
      <c r="BV53" s="22"/>
      <c r="BW53" s="22">
        <f t="shared" si="275"/>
        <v>0</v>
      </c>
      <c r="BX53" s="22">
        <f t="shared" si="391"/>
        <v>0</v>
      </c>
      <c r="BY53" s="22"/>
      <c r="BZ53" s="22">
        <f t="shared" si="277"/>
        <v>0</v>
      </c>
      <c r="CA53" s="22">
        <f t="shared" si="392"/>
        <v>0</v>
      </c>
      <c r="CB53" s="22"/>
      <c r="CC53" s="22">
        <f t="shared" si="279"/>
        <v>0</v>
      </c>
      <c r="CD53" s="22">
        <f t="shared" si="393"/>
        <v>0</v>
      </c>
      <c r="CE53" s="22"/>
      <c r="CF53" s="22">
        <f t="shared" si="281"/>
        <v>0</v>
      </c>
      <c r="CG53" s="22">
        <f t="shared" si="394"/>
        <v>0</v>
      </c>
      <c r="CH53" s="22"/>
      <c r="CI53" s="22">
        <f t="shared" si="283"/>
        <v>0</v>
      </c>
      <c r="CJ53" s="22">
        <f t="shared" si="395"/>
        <v>0</v>
      </c>
      <c r="CK53" s="22"/>
      <c r="CL53" s="22">
        <f t="shared" si="285"/>
        <v>0</v>
      </c>
      <c r="CM53" s="22">
        <f t="shared" si="396"/>
        <v>0</v>
      </c>
      <c r="CN53" s="22"/>
      <c r="CO53" s="22">
        <f t="shared" si="287"/>
        <v>0</v>
      </c>
      <c r="CP53" s="22">
        <f t="shared" si="397"/>
        <v>0</v>
      </c>
      <c r="CQ53" s="22"/>
      <c r="CR53" s="22">
        <f t="shared" si="289"/>
        <v>0</v>
      </c>
      <c r="CS53" s="22">
        <f t="shared" si="398"/>
        <v>0</v>
      </c>
      <c r="CT53" s="22"/>
      <c r="CU53" s="22">
        <f t="shared" si="291"/>
        <v>0</v>
      </c>
      <c r="CV53" s="22">
        <f t="shared" si="399"/>
        <v>0</v>
      </c>
      <c r="CW53" s="22"/>
      <c r="CX53" s="22">
        <f t="shared" si="293"/>
        <v>0</v>
      </c>
      <c r="CY53" s="22">
        <f t="shared" si="400"/>
        <v>0</v>
      </c>
      <c r="CZ53" s="22"/>
      <c r="DA53" s="22">
        <f t="shared" si="295"/>
        <v>0</v>
      </c>
      <c r="DB53" s="22">
        <f t="shared" si="401"/>
        <v>0</v>
      </c>
      <c r="DC53" s="22"/>
      <c r="DD53" s="22">
        <f t="shared" si="297"/>
        <v>0</v>
      </c>
      <c r="DE53" s="22">
        <f t="shared" si="402"/>
        <v>0</v>
      </c>
      <c r="DF53" s="22"/>
      <c r="DG53" s="22">
        <f t="shared" si="299"/>
        <v>0</v>
      </c>
      <c r="DH53" s="22">
        <f t="shared" si="403"/>
        <v>0</v>
      </c>
      <c r="DI53" s="22"/>
      <c r="DJ53" s="22">
        <f t="shared" si="301"/>
        <v>0</v>
      </c>
      <c r="DK53" s="22">
        <f t="shared" si="404"/>
        <v>0</v>
      </c>
      <c r="DL53" s="22"/>
      <c r="DM53" s="22">
        <f t="shared" si="303"/>
        <v>0</v>
      </c>
      <c r="DN53" s="22">
        <f t="shared" si="405"/>
        <v>0</v>
      </c>
      <c r="DO53" s="22"/>
      <c r="DP53" s="22">
        <f t="shared" si="305"/>
        <v>0</v>
      </c>
      <c r="DQ53" s="22">
        <f t="shared" si="406"/>
        <v>0</v>
      </c>
      <c r="DR53" s="22"/>
      <c r="DS53" s="22">
        <f t="shared" si="307"/>
        <v>0</v>
      </c>
      <c r="DT53" s="22">
        <f t="shared" si="407"/>
        <v>0</v>
      </c>
      <c r="DU53" s="22"/>
      <c r="DV53" s="22">
        <f t="shared" si="309"/>
        <v>0</v>
      </c>
      <c r="DW53" s="22">
        <f t="shared" si="408"/>
        <v>0</v>
      </c>
      <c r="DX53" s="22"/>
      <c r="DY53" s="22">
        <f t="shared" si="311"/>
        <v>0</v>
      </c>
      <c r="DZ53" s="22">
        <f t="shared" si="409"/>
        <v>0</v>
      </c>
      <c r="EA53" s="22"/>
      <c r="EB53" s="22">
        <f t="shared" si="313"/>
        <v>0</v>
      </c>
      <c r="EC53" s="22">
        <f t="shared" si="410"/>
        <v>0</v>
      </c>
      <c r="ED53" s="22"/>
      <c r="EE53" s="22">
        <f t="shared" si="315"/>
        <v>0</v>
      </c>
      <c r="EF53" s="22">
        <f t="shared" si="411"/>
        <v>0</v>
      </c>
      <c r="EG53" s="22"/>
      <c r="EH53" s="22">
        <f t="shared" si="317"/>
        <v>0</v>
      </c>
      <c r="EI53" s="22">
        <f t="shared" si="412"/>
        <v>0</v>
      </c>
      <c r="EJ53" s="22"/>
      <c r="EK53" s="22">
        <f t="shared" si="319"/>
        <v>0</v>
      </c>
      <c r="EL53" s="22">
        <f t="shared" si="413"/>
        <v>0</v>
      </c>
      <c r="EM53" s="22"/>
      <c r="EN53" s="22">
        <f t="shared" si="321"/>
        <v>0</v>
      </c>
      <c r="EO53" s="22">
        <f t="shared" si="414"/>
        <v>0</v>
      </c>
    </row>
    <row r="54" spans="1:145">
      <c r="A54" s="15">
        <v>49</v>
      </c>
      <c r="B54" s="15" t="s">
        <v>411</v>
      </c>
      <c r="C54" s="16" t="s">
        <v>401</v>
      </c>
      <c r="D54" s="15" t="s">
        <v>412</v>
      </c>
      <c r="E54" s="15" t="s">
        <v>399</v>
      </c>
      <c r="F54" s="19">
        <f t="shared" si="0"/>
        <v>45</v>
      </c>
      <c r="G54" s="20"/>
      <c r="H54" s="21"/>
      <c r="I54" s="22">
        <f t="shared" si="231"/>
        <v>0</v>
      </c>
      <c r="J54" s="22">
        <f t="shared" si="369"/>
        <v>0</v>
      </c>
      <c r="K54" s="22"/>
      <c r="L54" s="22">
        <f t="shared" si="233"/>
        <v>0</v>
      </c>
      <c r="M54" s="22">
        <f t="shared" si="370"/>
        <v>0</v>
      </c>
      <c r="N54" s="22"/>
      <c r="O54" s="22">
        <f t="shared" si="235"/>
        <v>0</v>
      </c>
      <c r="P54" s="22">
        <f t="shared" si="371"/>
        <v>0</v>
      </c>
      <c r="Q54" s="22"/>
      <c r="R54" s="22">
        <f t="shared" si="237"/>
        <v>0</v>
      </c>
      <c r="S54" s="22">
        <f t="shared" si="372"/>
        <v>0</v>
      </c>
      <c r="T54" s="22"/>
      <c r="U54" s="22">
        <f t="shared" si="239"/>
        <v>0</v>
      </c>
      <c r="V54" s="22">
        <f t="shared" si="373"/>
        <v>0</v>
      </c>
      <c r="W54" s="22"/>
      <c r="X54" s="22">
        <f t="shared" si="241"/>
        <v>0</v>
      </c>
      <c r="Y54" s="22">
        <f t="shared" si="374"/>
        <v>0</v>
      </c>
      <c r="Z54" s="22"/>
      <c r="AA54" s="22">
        <f t="shared" si="243"/>
        <v>0</v>
      </c>
      <c r="AB54" s="22">
        <f t="shared" si="375"/>
        <v>0</v>
      </c>
      <c r="AC54" s="22"/>
      <c r="AD54" s="22">
        <f t="shared" si="245"/>
        <v>0</v>
      </c>
      <c r="AE54" s="22">
        <f t="shared" si="376"/>
        <v>0</v>
      </c>
      <c r="AF54" s="22"/>
      <c r="AG54" s="22">
        <f t="shared" si="247"/>
        <v>0</v>
      </c>
      <c r="AH54" s="22">
        <f t="shared" si="377"/>
        <v>0</v>
      </c>
      <c r="AI54" s="22"/>
      <c r="AJ54" s="22">
        <f t="shared" si="249"/>
        <v>0</v>
      </c>
      <c r="AK54" s="22">
        <f t="shared" si="378"/>
        <v>0</v>
      </c>
      <c r="AL54" s="22">
        <v>6</v>
      </c>
      <c r="AM54" s="22">
        <f t="shared" si="251"/>
        <v>0</v>
      </c>
      <c r="AN54" s="22">
        <f t="shared" si="379"/>
        <v>0</v>
      </c>
      <c r="AO54" s="22"/>
      <c r="AP54" s="22">
        <f t="shared" si="253"/>
        <v>0</v>
      </c>
      <c r="AQ54" s="22">
        <f t="shared" si="380"/>
        <v>0</v>
      </c>
      <c r="AR54" s="22"/>
      <c r="AS54" s="22">
        <f t="shared" si="255"/>
        <v>0</v>
      </c>
      <c r="AT54" s="22">
        <f t="shared" si="381"/>
        <v>0</v>
      </c>
      <c r="AU54" s="22">
        <v>3</v>
      </c>
      <c r="AV54" s="22">
        <f t="shared" si="257"/>
        <v>0</v>
      </c>
      <c r="AW54" s="22">
        <f t="shared" si="382"/>
        <v>0</v>
      </c>
      <c r="AX54" s="22">
        <v>6</v>
      </c>
      <c r="AY54" s="22">
        <f t="shared" si="259"/>
        <v>18</v>
      </c>
      <c r="AZ54" s="22">
        <f t="shared" si="383"/>
        <v>0</v>
      </c>
      <c r="BA54" s="22"/>
      <c r="BB54" s="22">
        <f t="shared" si="261"/>
        <v>0</v>
      </c>
      <c r="BC54" s="22">
        <f t="shared" si="384"/>
        <v>0</v>
      </c>
      <c r="BD54" s="22"/>
      <c r="BE54" s="22">
        <f t="shared" si="263"/>
        <v>0</v>
      </c>
      <c r="BF54" s="22">
        <f t="shared" si="385"/>
        <v>0</v>
      </c>
      <c r="BG54" s="22">
        <v>6</v>
      </c>
      <c r="BH54" s="22">
        <f t="shared" si="265"/>
        <v>0</v>
      </c>
      <c r="BI54" s="22">
        <f t="shared" si="386"/>
        <v>0</v>
      </c>
      <c r="BJ54" s="22">
        <v>6</v>
      </c>
      <c r="BK54" s="22">
        <f t="shared" si="267"/>
        <v>6</v>
      </c>
      <c r="BL54" s="22">
        <f t="shared" si="387"/>
        <v>0</v>
      </c>
      <c r="BM54" s="22">
        <v>3</v>
      </c>
      <c r="BN54" s="22">
        <f t="shared" si="269"/>
        <v>0</v>
      </c>
      <c r="BO54" s="22">
        <f t="shared" si="388"/>
        <v>0</v>
      </c>
      <c r="BP54" s="22"/>
      <c r="BQ54" s="22">
        <f t="shared" si="271"/>
        <v>0</v>
      </c>
      <c r="BR54" s="22">
        <f t="shared" si="389"/>
        <v>0</v>
      </c>
      <c r="BS54" s="22"/>
      <c r="BT54" s="22">
        <f t="shared" si="273"/>
        <v>0</v>
      </c>
      <c r="BU54" s="22">
        <f t="shared" si="390"/>
        <v>0</v>
      </c>
      <c r="BV54" s="22"/>
      <c r="BW54" s="22">
        <f t="shared" si="275"/>
        <v>0</v>
      </c>
      <c r="BX54" s="22">
        <f t="shared" si="391"/>
        <v>0</v>
      </c>
      <c r="BY54" s="22"/>
      <c r="BZ54" s="22">
        <f t="shared" si="277"/>
        <v>0</v>
      </c>
      <c r="CA54" s="22">
        <f t="shared" si="392"/>
        <v>0</v>
      </c>
      <c r="CB54" s="22"/>
      <c r="CC54" s="22">
        <f t="shared" si="279"/>
        <v>0</v>
      </c>
      <c r="CD54" s="22">
        <f t="shared" si="393"/>
        <v>0</v>
      </c>
      <c r="CE54" s="22"/>
      <c r="CF54" s="22">
        <f t="shared" si="281"/>
        <v>0</v>
      </c>
      <c r="CG54" s="22">
        <f t="shared" si="394"/>
        <v>0</v>
      </c>
      <c r="CH54" s="22"/>
      <c r="CI54" s="22">
        <f t="shared" si="283"/>
        <v>0</v>
      </c>
      <c r="CJ54" s="22">
        <f t="shared" si="395"/>
        <v>0</v>
      </c>
      <c r="CK54" s="22"/>
      <c r="CL54" s="22">
        <f t="shared" si="285"/>
        <v>0</v>
      </c>
      <c r="CM54" s="22">
        <f t="shared" si="396"/>
        <v>0</v>
      </c>
      <c r="CN54" s="22"/>
      <c r="CO54" s="22">
        <f t="shared" si="287"/>
        <v>0</v>
      </c>
      <c r="CP54" s="22">
        <f t="shared" si="397"/>
        <v>0</v>
      </c>
      <c r="CQ54" s="22"/>
      <c r="CR54" s="22">
        <f t="shared" si="289"/>
        <v>0</v>
      </c>
      <c r="CS54" s="22">
        <f t="shared" si="398"/>
        <v>0</v>
      </c>
      <c r="CT54" s="22"/>
      <c r="CU54" s="22">
        <f t="shared" si="291"/>
        <v>0</v>
      </c>
      <c r="CV54" s="22">
        <f t="shared" si="399"/>
        <v>0</v>
      </c>
      <c r="CW54" s="22">
        <v>3</v>
      </c>
      <c r="CX54" s="22">
        <f t="shared" si="293"/>
        <v>0</v>
      </c>
      <c r="CY54" s="22">
        <f t="shared" si="400"/>
        <v>0</v>
      </c>
      <c r="CZ54" s="22"/>
      <c r="DA54" s="22">
        <f t="shared" si="295"/>
        <v>0</v>
      </c>
      <c r="DB54" s="22">
        <f t="shared" si="401"/>
        <v>0</v>
      </c>
      <c r="DC54" s="22"/>
      <c r="DD54" s="22">
        <f t="shared" si="297"/>
        <v>0</v>
      </c>
      <c r="DE54" s="22">
        <f t="shared" si="402"/>
        <v>0</v>
      </c>
      <c r="DF54" s="22"/>
      <c r="DG54" s="22">
        <f t="shared" si="299"/>
        <v>0</v>
      </c>
      <c r="DH54" s="22">
        <f t="shared" si="403"/>
        <v>0</v>
      </c>
      <c r="DI54" s="22">
        <v>3</v>
      </c>
      <c r="DJ54" s="22">
        <f t="shared" si="301"/>
        <v>0</v>
      </c>
      <c r="DK54" s="22">
        <f t="shared" si="404"/>
        <v>0</v>
      </c>
      <c r="DL54" s="22"/>
      <c r="DM54" s="22">
        <f t="shared" si="303"/>
        <v>0</v>
      </c>
      <c r="DN54" s="22">
        <f t="shared" si="405"/>
        <v>0</v>
      </c>
      <c r="DO54" s="22"/>
      <c r="DP54" s="22">
        <f t="shared" si="305"/>
        <v>0</v>
      </c>
      <c r="DQ54" s="22">
        <f t="shared" si="406"/>
        <v>0</v>
      </c>
      <c r="DR54" s="22"/>
      <c r="DS54" s="22">
        <f t="shared" si="307"/>
        <v>0</v>
      </c>
      <c r="DT54" s="22">
        <f t="shared" si="407"/>
        <v>0</v>
      </c>
      <c r="DU54" s="22">
        <v>6</v>
      </c>
      <c r="DV54" s="22">
        <f t="shared" si="309"/>
        <v>6</v>
      </c>
      <c r="DW54" s="22">
        <f t="shared" si="408"/>
        <v>0</v>
      </c>
      <c r="DX54" s="22"/>
      <c r="DY54" s="22">
        <f t="shared" si="311"/>
        <v>0</v>
      </c>
      <c r="DZ54" s="22">
        <f t="shared" si="409"/>
        <v>0</v>
      </c>
      <c r="EA54" s="22">
        <v>5</v>
      </c>
      <c r="EB54" s="22">
        <f t="shared" si="313"/>
        <v>15</v>
      </c>
      <c r="EC54" s="22">
        <f t="shared" si="410"/>
        <v>0</v>
      </c>
      <c r="ED54" s="22"/>
      <c r="EE54" s="22">
        <f t="shared" si="315"/>
        <v>0</v>
      </c>
      <c r="EF54" s="22">
        <f t="shared" si="411"/>
        <v>0</v>
      </c>
      <c r="EG54" s="22"/>
      <c r="EH54" s="22">
        <f t="shared" si="317"/>
        <v>0</v>
      </c>
      <c r="EI54" s="22">
        <f t="shared" si="412"/>
        <v>0</v>
      </c>
      <c r="EJ54" s="22"/>
      <c r="EK54" s="22">
        <f t="shared" si="319"/>
        <v>0</v>
      </c>
      <c r="EL54" s="22">
        <f t="shared" si="413"/>
        <v>0</v>
      </c>
      <c r="EM54" s="22"/>
      <c r="EN54" s="22">
        <f t="shared" si="321"/>
        <v>0</v>
      </c>
      <c r="EO54" s="22">
        <f t="shared" si="414"/>
        <v>0</v>
      </c>
    </row>
    <row r="55" spans="1:145">
      <c r="A55" s="15">
        <v>54</v>
      </c>
      <c r="B55" s="15" t="s">
        <v>426</v>
      </c>
      <c r="C55" s="16" t="s">
        <v>427</v>
      </c>
      <c r="D55" s="15" t="s">
        <v>428</v>
      </c>
      <c r="E55" s="15" t="s">
        <v>429</v>
      </c>
      <c r="F55" s="19">
        <f t="shared" si="0"/>
        <v>12</v>
      </c>
      <c r="G55" s="20"/>
      <c r="H55" s="21"/>
      <c r="I55" s="22">
        <f t="shared" si="231"/>
        <v>0</v>
      </c>
      <c r="J55" s="22">
        <f t="shared" si="369"/>
        <v>0</v>
      </c>
      <c r="K55" s="22"/>
      <c r="L55" s="22">
        <f t="shared" si="233"/>
        <v>0</v>
      </c>
      <c r="M55" s="22">
        <f t="shared" si="370"/>
        <v>0</v>
      </c>
      <c r="N55" s="22"/>
      <c r="O55" s="22">
        <f t="shared" si="235"/>
        <v>0</v>
      </c>
      <c r="P55" s="22">
        <f t="shared" si="371"/>
        <v>0</v>
      </c>
      <c r="Q55" s="22"/>
      <c r="R55" s="22">
        <f t="shared" si="237"/>
        <v>0</v>
      </c>
      <c r="S55" s="22">
        <f t="shared" si="372"/>
        <v>0</v>
      </c>
      <c r="T55" s="22"/>
      <c r="U55" s="22">
        <f t="shared" si="239"/>
        <v>0</v>
      </c>
      <c r="V55" s="22">
        <f t="shared" si="373"/>
        <v>0</v>
      </c>
      <c r="W55" s="22"/>
      <c r="X55" s="22">
        <f t="shared" si="241"/>
        <v>0</v>
      </c>
      <c r="Y55" s="22">
        <f t="shared" si="374"/>
        <v>0</v>
      </c>
      <c r="Z55" s="22"/>
      <c r="AA55" s="22">
        <f t="shared" si="243"/>
        <v>0</v>
      </c>
      <c r="AB55" s="22">
        <f t="shared" si="375"/>
        <v>0</v>
      </c>
      <c r="AC55" s="22"/>
      <c r="AD55" s="22">
        <f t="shared" si="245"/>
        <v>0</v>
      </c>
      <c r="AE55" s="22">
        <f t="shared" si="376"/>
        <v>0</v>
      </c>
      <c r="AF55" s="22"/>
      <c r="AG55" s="22">
        <f t="shared" si="247"/>
        <v>0</v>
      </c>
      <c r="AH55" s="22">
        <f t="shared" si="377"/>
        <v>0</v>
      </c>
      <c r="AI55" s="22"/>
      <c r="AJ55" s="22">
        <f t="shared" si="249"/>
        <v>0</v>
      </c>
      <c r="AK55" s="22">
        <f t="shared" si="378"/>
        <v>0</v>
      </c>
      <c r="AL55" s="22">
        <v>2</v>
      </c>
      <c r="AM55" s="22">
        <f t="shared" si="251"/>
        <v>0</v>
      </c>
      <c r="AN55" s="22">
        <f t="shared" si="379"/>
        <v>0</v>
      </c>
      <c r="AO55" s="22"/>
      <c r="AP55" s="22">
        <f t="shared" si="253"/>
        <v>0</v>
      </c>
      <c r="AQ55" s="22">
        <f t="shared" si="380"/>
        <v>0</v>
      </c>
      <c r="AR55" s="22"/>
      <c r="AS55" s="22">
        <f t="shared" si="255"/>
        <v>0</v>
      </c>
      <c r="AT55" s="22">
        <f t="shared" si="381"/>
        <v>0</v>
      </c>
      <c r="AU55" s="22"/>
      <c r="AV55" s="22">
        <f t="shared" si="257"/>
        <v>0</v>
      </c>
      <c r="AW55" s="22">
        <f t="shared" si="382"/>
        <v>0</v>
      </c>
      <c r="AX55" s="22">
        <v>2</v>
      </c>
      <c r="AY55" s="22">
        <f t="shared" si="259"/>
        <v>6</v>
      </c>
      <c r="AZ55" s="22">
        <f t="shared" si="383"/>
        <v>0</v>
      </c>
      <c r="BA55" s="22"/>
      <c r="BB55" s="22">
        <f t="shared" si="261"/>
        <v>0</v>
      </c>
      <c r="BC55" s="22">
        <f t="shared" si="384"/>
        <v>0</v>
      </c>
      <c r="BD55" s="22"/>
      <c r="BE55" s="22">
        <f t="shared" si="263"/>
        <v>0</v>
      </c>
      <c r="BF55" s="22">
        <f t="shared" si="385"/>
        <v>0</v>
      </c>
      <c r="BG55" s="22"/>
      <c r="BH55" s="22">
        <f t="shared" si="265"/>
        <v>0</v>
      </c>
      <c r="BI55" s="22">
        <f t="shared" si="386"/>
        <v>0</v>
      </c>
      <c r="BJ55" s="22"/>
      <c r="BK55" s="22">
        <f t="shared" si="267"/>
        <v>0</v>
      </c>
      <c r="BL55" s="22">
        <f t="shared" si="387"/>
        <v>0</v>
      </c>
      <c r="BM55" s="22"/>
      <c r="BN55" s="22">
        <f t="shared" si="269"/>
        <v>0</v>
      </c>
      <c r="BO55" s="22">
        <f t="shared" si="388"/>
        <v>0</v>
      </c>
      <c r="BP55" s="22"/>
      <c r="BQ55" s="22">
        <f t="shared" si="271"/>
        <v>0</v>
      </c>
      <c r="BR55" s="22">
        <f t="shared" si="389"/>
        <v>0</v>
      </c>
      <c r="BS55" s="22"/>
      <c r="BT55" s="22">
        <f t="shared" si="273"/>
        <v>0</v>
      </c>
      <c r="BU55" s="22">
        <f t="shared" si="390"/>
        <v>0</v>
      </c>
      <c r="BV55" s="22"/>
      <c r="BW55" s="22">
        <f t="shared" si="275"/>
        <v>0</v>
      </c>
      <c r="BX55" s="22">
        <f t="shared" si="391"/>
        <v>0</v>
      </c>
      <c r="BY55" s="22"/>
      <c r="BZ55" s="22">
        <f t="shared" si="277"/>
        <v>0</v>
      </c>
      <c r="CA55" s="22">
        <f t="shared" si="392"/>
        <v>0</v>
      </c>
      <c r="CB55" s="22"/>
      <c r="CC55" s="22">
        <f t="shared" si="279"/>
        <v>0</v>
      </c>
      <c r="CD55" s="22">
        <f t="shared" si="393"/>
        <v>0</v>
      </c>
      <c r="CE55" s="22"/>
      <c r="CF55" s="22">
        <f t="shared" si="281"/>
        <v>0</v>
      </c>
      <c r="CG55" s="22">
        <f t="shared" si="394"/>
        <v>0</v>
      </c>
      <c r="CH55" s="22"/>
      <c r="CI55" s="22">
        <f t="shared" si="283"/>
        <v>0</v>
      </c>
      <c r="CJ55" s="22">
        <f t="shared" si="395"/>
        <v>0</v>
      </c>
      <c r="CK55" s="22"/>
      <c r="CL55" s="22">
        <f t="shared" si="285"/>
        <v>0</v>
      </c>
      <c r="CM55" s="22">
        <f t="shared" si="396"/>
        <v>0</v>
      </c>
      <c r="CN55" s="22"/>
      <c r="CO55" s="22">
        <f t="shared" si="287"/>
        <v>0</v>
      </c>
      <c r="CP55" s="22">
        <f t="shared" si="397"/>
        <v>0</v>
      </c>
      <c r="CQ55" s="22"/>
      <c r="CR55" s="22">
        <f t="shared" si="289"/>
        <v>0</v>
      </c>
      <c r="CS55" s="22">
        <f t="shared" si="398"/>
        <v>0</v>
      </c>
      <c r="CT55" s="22"/>
      <c r="CU55" s="22">
        <f t="shared" si="291"/>
        <v>0</v>
      </c>
      <c r="CV55" s="22">
        <f t="shared" si="399"/>
        <v>0</v>
      </c>
      <c r="CW55" s="22"/>
      <c r="CX55" s="22">
        <f t="shared" si="293"/>
        <v>0</v>
      </c>
      <c r="CY55" s="22">
        <f t="shared" si="400"/>
        <v>0</v>
      </c>
      <c r="CZ55" s="22"/>
      <c r="DA55" s="22">
        <f t="shared" si="295"/>
        <v>0</v>
      </c>
      <c r="DB55" s="22">
        <f t="shared" si="401"/>
        <v>0</v>
      </c>
      <c r="DC55" s="22"/>
      <c r="DD55" s="22">
        <f t="shared" si="297"/>
        <v>0</v>
      </c>
      <c r="DE55" s="22">
        <f t="shared" si="402"/>
        <v>0</v>
      </c>
      <c r="DF55" s="22"/>
      <c r="DG55" s="22">
        <f t="shared" si="299"/>
        <v>0</v>
      </c>
      <c r="DH55" s="22">
        <f t="shared" si="403"/>
        <v>0</v>
      </c>
      <c r="DI55" s="22"/>
      <c r="DJ55" s="22">
        <f t="shared" si="301"/>
        <v>0</v>
      </c>
      <c r="DK55" s="22">
        <f t="shared" si="404"/>
        <v>0</v>
      </c>
      <c r="DL55" s="22"/>
      <c r="DM55" s="22">
        <f t="shared" si="303"/>
        <v>0</v>
      </c>
      <c r="DN55" s="22">
        <f t="shared" si="405"/>
        <v>0</v>
      </c>
      <c r="DO55" s="22"/>
      <c r="DP55" s="22">
        <f t="shared" si="305"/>
        <v>0</v>
      </c>
      <c r="DQ55" s="22">
        <f t="shared" si="406"/>
        <v>0</v>
      </c>
      <c r="DR55" s="22"/>
      <c r="DS55" s="22">
        <f t="shared" si="307"/>
        <v>0</v>
      </c>
      <c r="DT55" s="22">
        <f t="shared" si="407"/>
        <v>0</v>
      </c>
      <c r="DU55" s="22"/>
      <c r="DV55" s="22">
        <f t="shared" si="309"/>
        <v>0</v>
      </c>
      <c r="DW55" s="22">
        <f t="shared" si="408"/>
        <v>0</v>
      </c>
      <c r="DX55" s="22"/>
      <c r="DY55" s="22">
        <f t="shared" si="311"/>
        <v>0</v>
      </c>
      <c r="DZ55" s="22">
        <f t="shared" si="409"/>
        <v>0</v>
      </c>
      <c r="EA55" s="22">
        <v>2</v>
      </c>
      <c r="EB55" s="22">
        <f t="shared" si="313"/>
        <v>6</v>
      </c>
      <c r="EC55" s="22">
        <f t="shared" si="410"/>
        <v>0</v>
      </c>
      <c r="ED55" s="22"/>
      <c r="EE55" s="22">
        <f t="shared" si="315"/>
        <v>0</v>
      </c>
      <c r="EF55" s="22">
        <f t="shared" si="411"/>
        <v>0</v>
      </c>
      <c r="EG55" s="22"/>
      <c r="EH55" s="22">
        <f t="shared" si="317"/>
        <v>0</v>
      </c>
      <c r="EI55" s="22">
        <f t="shared" si="412"/>
        <v>0</v>
      </c>
      <c r="EJ55" s="22"/>
      <c r="EK55" s="22">
        <f t="shared" si="319"/>
        <v>0</v>
      </c>
      <c r="EL55" s="22">
        <f t="shared" si="413"/>
        <v>0</v>
      </c>
      <c r="EM55" s="22"/>
      <c r="EN55" s="22">
        <f t="shared" si="321"/>
        <v>0</v>
      </c>
      <c r="EO55" s="22">
        <f t="shared" si="414"/>
        <v>0</v>
      </c>
    </row>
    <row r="56" spans="1:145">
      <c r="A56" s="15">
        <v>65</v>
      </c>
      <c r="B56" s="15" t="s">
        <v>558</v>
      </c>
      <c r="C56" s="16" t="s">
        <v>414</v>
      </c>
      <c r="D56" s="15" t="s">
        <v>559</v>
      </c>
      <c r="E56" s="15" t="s">
        <v>416</v>
      </c>
      <c r="F56" s="19">
        <f t="shared" ref="F56:F73" si="415">SUM(I56,L56,O56,BN56,R56,U56,X56,AA56,BZ56,CC56,CF56,AD56,AG56,AJ56,AM56,AP56,AS56,AV56,AY56,BB56,BE56,BH56,BK56,BQ56,BT56,BW56,CI56,CL56,CO56,CR56,CU56,CX56,DA56,DD56,DG56,DJ56,DM56,DP56,DS56,DV56,DY56,EB56,EE56,EH56,EK56,EN56)</f>
        <v>3</v>
      </c>
      <c r="G56" s="20"/>
      <c r="H56" s="21"/>
      <c r="I56" s="22">
        <f t="shared" si="231"/>
        <v>0</v>
      </c>
      <c r="J56" s="22">
        <f t="shared" ref="J56:J59" si="416">$G56*H56</f>
        <v>0</v>
      </c>
      <c r="K56" s="22"/>
      <c r="L56" s="22">
        <f t="shared" si="233"/>
        <v>0</v>
      </c>
      <c r="M56" s="22">
        <f t="shared" ref="M56:M59" si="417">$G56*K56</f>
        <v>0</v>
      </c>
      <c r="N56" s="22"/>
      <c r="O56" s="22">
        <f t="shared" si="235"/>
        <v>0</v>
      </c>
      <c r="P56" s="22">
        <f t="shared" ref="P56:P59" si="418">$G56*N56</f>
        <v>0</v>
      </c>
      <c r="Q56" s="22"/>
      <c r="R56" s="22">
        <f t="shared" si="237"/>
        <v>0</v>
      </c>
      <c r="S56" s="22">
        <f t="shared" ref="S56:S59" si="419">$G56*Q56</f>
        <v>0</v>
      </c>
      <c r="T56" s="22"/>
      <c r="U56" s="22">
        <f t="shared" si="239"/>
        <v>0</v>
      </c>
      <c r="V56" s="22">
        <f t="shared" ref="V56:V59" si="420">$G56*T56</f>
        <v>0</v>
      </c>
      <c r="W56" s="22"/>
      <c r="X56" s="22">
        <f t="shared" si="241"/>
        <v>0</v>
      </c>
      <c r="Y56" s="22">
        <f t="shared" ref="Y56:Y59" si="421">$G56*W56</f>
        <v>0</v>
      </c>
      <c r="Z56" s="22"/>
      <c r="AA56" s="22">
        <f t="shared" si="243"/>
        <v>0</v>
      </c>
      <c r="AB56" s="22">
        <f t="shared" ref="AB56:AB59" si="422">$G56*Z56</f>
        <v>0</v>
      </c>
      <c r="AC56" s="22"/>
      <c r="AD56" s="22">
        <f t="shared" si="245"/>
        <v>0</v>
      </c>
      <c r="AE56" s="22">
        <f t="shared" ref="AE56:AE59" si="423">$G56*AC56</f>
        <v>0</v>
      </c>
      <c r="AF56" s="22"/>
      <c r="AG56" s="22">
        <f t="shared" si="247"/>
        <v>0</v>
      </c>
      <c r="AH56" s="22">
        <f t="shared" ref="AH56:AH59" si="424">$G56*AF56</f>
        <v>0</v>
      </c>
      <c r="AI56" s="22"/>
      <c r="AJ56" s="22">
        <f t="shared" si="249"/>
        <v>0</v>
      </c>
      <c r="AK56" s="22">
        <f t="shared" ref="AK56:AK59" si="425">$G56*AI56</f>
        <v>0</v>
      </c>
      <c r="AL56" s="22"/>
      <c r="AM56" s="22">
        <f t="shared" si="251"/>
        <v>0</v>
      </c>
      <c r="AN56" s="22">
        <f t="shared" ref="AN56:AN59" si="426">$G56*AL56</f>
        <v>0</v>
      </c>
      <c r="AO56" s="22"/>
      <c r="AP56" s="22">
        <f t="shared" si="253"/>
        <v>0</v>
      </c>
      <c r="AQ56" s="22">
        <f t="shared" ref="AQ56:AQ59" si="427">$G56*AO56</f>
        <v>0</v>
      </c>
      <c r="AR56" s="22"/>
      <c r="AS56" s="22">
        <f t="shared" si="255"/>
        <v>0</v>
      </c>
      <c r="AT56" s="22">
        <f t="shared" ref="AT56:AT59" si="428">$G56*AR56</f>
        <v>0</v>
      </c>
      <c r="AU56" s="22"/>
      <c r="AV56" s="22">
        <f t="shared" si="257"/>
        <v>0</v>
      </c>
      <c r="AW56" s="22">
        <f t="shared" ref="AW56:AW59" si="429">$G56*AU56</f>
        <v>0</v>
      </c>
      <c r="AX56" s="22">
        <v>1</v>
      </c>
      <c r="AY56" s="22">
        <f t="shared" si="259"/>
        <v>3</v>
      </c>
      <c r="AZ56" s="22">
        <f t="shared" ref="AZ56:AZ59" si="430">$G56*AX56</f>
        <v>0</v>
      </c>
      <c r="BA56" s="22"/>
      <c r="BB56" s="22">
        <f t="shared" si="261"/>
        <v>0</v>
      </c>
      <c r="BC56" s="22">
        <f t="shared" ref="BC56:BC59" si="431">$G56*BA56</f>
        <v>0</v>
      </c>
      <c r="BD56" s="22"/>
      <c r="BE56" s="22">
        <f t="shared" si="263"/>
        <v>0</v>
      </c>
      <c r="BF56" s="22">
        <f t="shared" ref="BF56:BF59" si="432">$G56*BD56</f>
        <v>0</v>
      </c>
      <c r="BG56" s="22"/>
      <c r="BH56" s="22">
        <f t="shared" si="265"/>
        <v>0</v>
      </c>
      <c r="BI56" s="22">
        <f t="shared" ref="BI56:BI59" si="433">$G56*BG56</f>
        <v>0</v>
      </c>
      <c r="BJ56" s="22"/>
      <c r="BK56" s="22">
        <f t="shared" si="267"/>
        <v>0</v>
      </c>
      <c r="BL56" s="22">
        <f t="shared" ref="BL56:BL59" si="434">$G56*BJ56</f>
        <v>0</v>
      </c>
      <c r="BM56" s="22"/>
      <c r="BN56" s="22">
        <f t="shared" si="269"/>
        <v>0</v>
      </c>
      <c r="BO56" s="22">
        <f t="shared" ref="BO56:BO59" si="435">$G56*BM56</f>
        <v>0</v>
      </c>
      <c r="BP56" s="22"/>
      <c r="BQ56" s="22">
        <f t="shared" si="271"/>
        <v>0</v>
      </c>
      <c r="BR56" s="22">
        <f t="shared" ref="BR56:BR59" si="436">$G56*BP56</f>
        <v>0</v>
      </c>
      <c r="BS56" s="22"/>
      <c r="BT56" s="22">
        <f t="shared" si="273"/>
        <v>0</v>
      </c>
      <c r="BU56" s="22">
        <f t="shared" ref="BU56:BU59" si="437">$G56*BS56</f>
        <v>0</v>
      </c>
      <c r="BV56" s="22"/>
      <c r="BW56" s="22">
        <f t="shared" si="275"/>
        <v>0</v>
      </c>
      <c r="BX56" s="22">
        <f t="shared" ref="BX56:BX59" si="438">$G56*BV56</f>
        <v>0</v>
      </c>
      <c r="BY56" s="22"/>
      <c r="BZ56" s="22">
        <f t="shared" si="277"/>
        <v>0</v>
      </c>
      <c r="CA56" s="22">
        <f t="shared" ref="CA56:CA59" si="439">$G56*BY56</f>
        <v>0</v>
      </c>
      <c r="CB56" s="22"/>
      <c r="CC56" s="22">
        <f t="shared" si="279"/>
        <v>0</v>
      </c>
      <c r="CD56" s="22">
        <f t="shared" ref="CD56:CD59" si="440">$G56*CB56</f>
        <v>0</v>
      </c>
      <c r="CE56" s="22"/>
      <c r="CF56" s="22">
        <f t="shared" si="281"/>
        <v>0</v>
      </c>
      <c r="CG56" s="22">
        <f t="shared" ref="CG56:CG59" si="441">$G56*CE56</f>
        <v>0</v>
      </c>
      <c r="CH56" s="22"/>
      <c r="CI56" s="22">
        <f t="shared" si="283"/>
        <v>0</v>
      </c>
      <c r="CJ56" s="22">
        <f t="shared" ref="CJ56:CJ59" si="442">$G56*CH56</f>
        <v>0</v>
      </c>
      <c r="CK56" s="22"/>
      <c r="CL56" s="22">
        <f t="shared" si="285"/>
        <v>0</v>
      </c>
      <c r="CM56" s="22">
        <f t="shared" ref="CM56:CM59" si="443">$G56*CK56</f>
        <v>0</v>
      </c>
      <c r="CN56" s="22"/>
      <c r="CO56" s="22">
        <f t="shared" si="287"/>
        <v>0</v>
      </c>
      <c r="CP56" s="22">
        <f t="shared" ref="CP56:CP59" si="444">$G56*CN56</f>
        <v>0</v>
      </c>
      <c r="CQ56" s="22"/>
      <c r="CR56" s="22">
        <f t="shared" si="289"/>
        <v>0</v>
      </c>
      <c r="CS56" s="22">
        <f t="shared" ref="CS56:CS59" si="445">$G56*CQ56</f>
        <v>0</v>
      </c>
      <c r="CT56" s="22"/>
      <c r="CU56" s="22">
        <f t="shared" si="291"/>
        <v>0</v>
      </c>
      <c r="CV56" s="22">
        <f t="shared" ref="CV56:CV59" si="446">$G56*CT56</f>
        <v>0</v>
      </c>
      <c r="CW56" s="22"/>
      <c r="CX56" s="22">
        <f t="shared" si="293"/>
        <v>0</v>
      </c>
      <c r="CY56" s="22">
        <f t="shared" ref="CY56:CY59" si="447">$G56*CW56</f>
        <v>0</v>
      </c>
      <c r="CZ56" s="22"/>
      <c r="DA56" s="22">
        <f t="shared" si="295"/>
        <v>0</v>
      </c>
      <c r="DB56" s="22">
        <f t="shared" ref="DB56:DB59" si="448">$G56*CZ56</f>
        <v>0</v>
      </c>
      <c r="DC56" s="22"/>
      <c r="DD56" s="22">
        <f t="shared" si="297"/>
        <v>0</v>
      </c>
      <c r="DE56" s="22">
        <f t="shared" ref="DE56:DE59" si="449">$G56*DC56</f>
        <v>0</v>
      </c>
      <c r="DF56" s="22"/>
      <c r="DG56" s="22">
        <f t="shared" si="299"/>
        <v>0</v>
      </c>
      <c r="DH56" s="22">
        <f t="shared" ref="DH56:DH59" si="450">$G56*DF56</f>
        <v>0</v>
      </c>
      <c r="DI56" s="22"/>
      <c r="DJ56" s="22">
        <f t="shared" si="301"/>
        <v>0</v>
      </c>
      <c r="DK56" s="22">
        <f t="shared" ref="DK56:DK59" si="451">$G56*DI56</f>
        <v>0</v>
      </c>
      <c r="DL56" s="22"/>
      <c r="DM56" s="22">
        <f t="shared" si="303"/>
        <v>0</v>
      </c>
      <c r="DN56" s="22">
        <f t="shared" ref="DN56:DN59" si="452">$G56*DL56</f>
        <v>0</v>
      </c>
      <c r="DO56" s="22"/>
      <c r="DP56" s="22">
        <f t="shared" si="305"/>
        <v>0</v>
      </c>
      <c r="DQ56" s="22">
        <f t="shared" ref="DQ56:DQ59" si="453">$G56*DO56</f>
        <v>0</v>
      </c>
      <c r="DR56" s="22"/>
      <c r="DS56" s="22">
        <f t="shared" si="307"/>
        <v>0</v>
      </c>
      <c r="DT56" s="22">
        <f t="shared" ref="DT56:DT59" si="454">$G56*DR56</f>
        <v>0</v>
      </c>
      <c r="DU56" s="22"/>
      <c r="DV56" s="22">
        <f t="shared" si="309"/>
        <v>0</v>
      </c>
      <c r="DW56" s="22">
        <f t="shared" ref="DW56:DW59" si="455">$G56*DU56</f>
        <v>0</v>
      </c>
      <c r="DX56" s="22"/>
      <c r="DY56" s="22">
        <f t="shared" si="311"/>
        <v>0</v>
      </c>
      <c r="DZ56" s="22">
        <f t="shared" ref="DZ56:DZ59" si="456">$G56*DX56</f>
        <v>0</v>
      </c>
      <c r="EA56" s="22"/>
      <c r="EB56" s="22">
        <f t="shared" si="313"/>
        <v>0</v>
      </c>
      <c r="EC56" s="22">
        <f t="shared" ref="EC56:EC59" si="457">$G56*EA56</f>
        <v>0</v>
      </c>
      <c r="ED56" s="22"/>
      <c r="EE56" s="22">
        <f t="shared" si="315"/>
        <v>0</v>
      </c>
      <c r="EF56" s="22">
        <f t="shared" ref="EF56:EF59" si="458">$G56*ED56</f>
        <v>0</v>
      </c>
      <c r="EG56" s="22"/>
      <c r="EH56" s="22">
        <f t="shared" si="317"/>
        <v>0</v>
      </c>
      <c r="EI56" s="22">
        <f t="shared" ref="EI56:EI59" si="459">$G56*EG56</f>
        <v>0</v>
      </c>
      <c r="EJ56" s="22"/>
      <c r="EK56" s="22">
        <f t="shared" si="319"/>
        <v>0</v>
      </c>
      <c r="EL56" s="22">
        <f t="shared" ref="EL56:EL59" si="460">$G56*EJ56</f>
        <v>0</v>
      </c>
      <c r="EM56" s="22"/>
      <c r="EN56" s="22">
        <f t="shared" si="321"/>
        <v>0</v>
      </c>
      <c r="EO56" s="22">
        <f t="shared" ref="EO56:EO59" si="461">$G56*EM56</f>
        <v>0</v>
      </c>
    </row>
    <row r="57" spans="1:145">
      <c r="A57" s="15">
        <v>66</v>
      </c>
      <c r="B57" s="15" t="s">
        <v>560</v>
      </c>
      <c r="C57" s="16" t="s">
        <v>414</v>
      </c>
      <c r="D57" s="15" t="s">
        <v>561</v>
      </c>
      <c r="E57" s="15" t="s">
        <v>416</v>
      </c>
      <c r="F57" s="19">
        <f t="shared" si="415"/>
        <v>6</v>
      </c>
      <c r="G57" s="20"/>
      <c r="H57" s="21"/>
      <c r="I57" s="22">
        <f t="shared" si="231"/>
        <v>0</v>
      </c>
      <c r="J57" s="22">
        <f t="shared" si="416"/>
        <v>0</v>
      </c>
      <c r="K57" s="22"/>
      <c r="L57" s="22">
        <f t="shared" si="233"/>
        <v>0</v>
      </c>
      <c r="M57" s="22">
        <f t="shared" si="417"/>
        <v>0</v>
      </c>
      <c r="N57" s="22"/>
      <c r="O57" s="22">
        <f t="shared" si="235"/>
        <v>0</v>
      </c>
      <c r="P57" s="22">
        <f t="shared" si="418"/>
        <v>0</v>
      </c>
      <c r="Q57" s="22"/>
      <c r="R57" s="22">
        <f t="shared" si="237"/>
        <v>0</v>
      </c>
      <c r="S57" s="22">
        <f t="shared" si="419"/>
        <v>0</v>
      </c>
      <c r="T57" s="22"/>
      <c r="U57" s="22">
        <f t="shared" si="239"/>
        <v>0</v>
      </c>
      <c r="V57" s="22">
        <f t="shared" si="420"/>
        <v>0</v>
      </c>
      <c r="W57" s="22"/>
      <c r="X57" s="22">
        <f t="shared" si="241"/>
        <v>0</v>
      </c>
      <c r="Y57" s="22">
        <f t="shared" si="421"/>
        <v>0</v>
      </c>
      <c r="Z57" s="22"/>
      <c r="AA57" s="22">
        <f t="shared" si="243"/>
        <v>0</v>
      </c>
      <c r="AB57" s="22">
        <f t="shared" si="422"/>
        <v>0</v>
      </c>
      <c r="AC57" s="22"/>
      <c r="AD57" s="22">
        <f t="shared" si="245"/>
        <v>0</v>
      </c>
      <c r="AE57" s="22">
        <f t="shared" si="423"/>
        <v>0</v>
      </c>
      <c r="AF57" s="22"/>
      <c r="AG57" s="22">
        <f t="shared" si="247"/>
        <v>0</v>
      </c>
      <c r="AH57" s="22">
        <f t="shared" si="424"/>
        <v>0</v>
      </c>
      <c r="AI57" s="22"/>
      <c r="AJ57" s="22">
        <f t="shared" si="249"/>
        <v>0</v>
      </c>
      <c r="AK57" s="22">
        <f t="shared" si="425"/>
        <v>0</v>
      </c>
      <c r="AL57" s="22"/>
      <c r="AM57" s="22">
        <f t="shared" si="251"/>
        <v>0</v>
      </c>
      <c r="AN57" s="22">
        <f t="shared" si="426"/>
        <v>0</v>
      </c>
      <c r="AO57" s="22"/>
      <c r="AP57" s="22">
        <f t="shared" si="253"/>
        <v>0</v>
      </c>
      <c r="AQ57" s="22">
        <f t="shared" si="427"/>
        <v>0</v>
      </c>
      <c r="AR57" s="22"/>
      <c r="AS57" s="22">
        <f t="shared" si="255"/>
        <v>0</v>
      </c>
      <c r="AT57" s="22">
        <f t="shared" si="428"/>
        <v>0</v>
      </c>
      <c r="AU57" s="22"/>
      <c r="AV57" s="22">
        <f t="shared" si="257"/>
        <v>0</v>
      </c>
      <c r="AW57" s="22">
        <f t="shared" si="429"/>
        <v>0</v>
      </c>
      <c r="AX57" s="22">
        <v>1</v>
      </c>
      <c r="AY57" s="22">
        <f t="shared" si="259"/>
        <v>3</v>
      </c>
      <c r="AZ57" s="22">
        <f t="shared" si="430"/>
        <v>0</v>
      </c>
      <c r="BA57" s="22"/>
      <c r="BB57" s="22">
        <f t="shared" si="261"/>
        <v>0</v>
      </c>
      <c r="BC57" s="22">
        <f t="shared" si="431"/>
        <v>0</v>
      </c>
      <c r="BD57" s="22"/>
      <c r="BE57" s="22">
        <f t="shared" si="263"/>
        <v>0</v>
      </c>
      <c r="BF57" s="22">
        <f t="shared" si="432"/>
        <v>0</v>
      </c>
      <c r="BG57" s="22"/>
      <c r="BH57" s="22">
        <f t="shared" si="265"/>
        <v>0</v>
      </c>
      <c r="BI57" s="22">
        <f t="shared" si="433"/>
        <v>0</v>
      </c>
      <c r="BJ57" s="22"/>
      <c r="BK57" s="22">
        <f t="shared" si="267"/>
        <v>0</v>
      </c>
      <c r="BL57" s="22">
        <f t="shared" si="434"/>
        <v>0</v>
      </c>
      <c r="BM57" s="22"/>
      <c r="BN57" s="22">
        <f t="shared" si="269"/>
        <v>0</v>
      </c>
      <c r="BO57" s="22">
        <f t="shared" si="435"/>
        <v>0</v>
      </c>
      <c r="BP57" s="22"/>
      <c r="BQ57" s="22">
        <f t="shared" si="271"/>
        <v>0</v>
      </c>
      <c r="BR57" s="22">
        <f t="shared" si="436"/>
        <v>0</v>
      </c>
      <c r="BS57" s="22"/>
      <c r="BT57" s="22">
        <f t="shared" si="273"/>
        <v>0</v>
      </c>
      <c r="BU57" s="22">
        <f t="shared" si="437"/>
        <v>0</v>
      </c>
      <c r="BV57" s="22"/>
      <c r="BW57" s="22">
        <f t="shared" si="275"/>
        <v>0</v>
      </c>
      <c r="BX57" s="22">
        <f t="shared" si="438"/>
        <v>0</v>
      </c>
      <c r="BY57" s="22"/>
      <c r="BZ57" s="22">
        <f t="shared" si="277"/>
        <v>0</v>
      </c>
      <c r="CA57" s="22">
        <f t="shared" si="439"/>
        <v>0</v>
      </c>
      <c r="CB57" s="22"/>
      <c r="CC57" s="22">
        <f t="shared" si="279"/>
        <v>0</v>
      </c>
      <c r="CD57" s="22">
        <f t="shared" si="440"/>
        <v>0</v>
      </c>
      <c r="CE57" s="22"/>
      <c r="CF57" s="22">
        <f t="shared" si="281"/>
        <v>0</v>
      </c>
      <c r="CG57" s="22">
        <f t="shared" si="441"/>
        <v>0</v>
      </c>
      <c r="CH57" s="22"/>
      <c r="CI57" s="22">
        <f t="shared" si="283"/>
        <v>0</v>
      </c>
      <c r="CJ57" s="22">
        <f t="shared" si="442"/>
        <v>0</v>
      </c>
      <c r="CK57" s="22"/>
      <c r="CL57" s="22">
        <f t="shared" si="285"/>
        <v>0</v>
      </c>
      <c r="CM57" s="22">
        <f t="shared" si="443"/>
        <v>0</v>
      </c>
      <c r="CN57" s="22"/>
      <c r="CO57" s="22">
        <f t="shared" si="287"/>
        <v>0</v>
      </c>
      <c r="CP57" s="22">
        <f t="shared" si="444"/>
        <v>0</v>
      </c>
      <c r="CQ57" s="22"/>
      <c r="CR57" s="22">
        <f t="shared" si="289"/>
        <v>0</v>
      </c>
      <c r="CS57" s="22">
        <f t="shared" si="445"/>
        <v>0</v>
      </c>
      <c r="CT57" s="22"/>
      <c r="CU57" s="22">
        <f t="shared" si="291"/>
        <v>0</v>
      </c>
      <c r="CV57" s="22">
        <f t="shared" si="446"/>
        <v>0</v>
      </c>
      <c r="CW57" s="22"/>
      <c r="CX57" s="22">
        <f t="shared" si="293"/>
        <v>0</v>
      </c>
      <c r="CY57" s="22">
        <f t="shared" si="447"/>
        <v>0</v>
      </c>
      <c r="CZ57" s="22"/>
      <c r="DA57" s="22">
        <f t="shared" si="295"/>
        <v>0</v>
      </c>
      <c r="DB57" s="22">
        <f t="shared" si="448"/>
        <v>0</v>
      </c>
      <c r="DC57" s="22"/>
      <c r="DD57" s="22">
        <f t="shared" si="297"/>
        <v>0</v>
      </c>
      <c r="DE57" s="22">
        <f t="shared" si="449"/>
        <v>0</v>
      </c>
      <c r="DF57" s="22"/>
      <c r="DG57" s="22">
        <f t="shared" si="299"/>
        <v>0</v>
      </c>
      <c r="DH57" s="22">
        <f t="shared" si="450"/>
        <v>0</v>
      </c>
      <c r="DI57" s="22"/>
      <c r="DJ57" s="22">
        <f t="shared" si="301"/>
        <v>0</v>
      </c>
      <c r="DK57" s="22">
        <f t="shared" si="451"/>
        <v>0</v>
      </c>
      <c r="DL57" s="22"/>
      <c r="DM57" s="22">
        <f t="shared" si="303"/>
        <v>0</v>
      </c>
      <c r="DN57" s="22">
        <f t="shared" si="452"/>
        <v>0</v>
      </c>
      <c r="DO57" s="22"/>
      <c r="DP57" s="22">
        <f t="shared" si="305"/>
        <v>0</v>
      </c>
      <c r="DQ57" s="22">
        <f t="shared" si="453"/>
        <v>0</v>
      </c>
      <c r="DR57" s="22"/>
      <c r="DS57" s="22">
        <f t="shared" si="307"/>
        <v>0</v>
      </c>
      <c r="DT57" s="22">
        <f t="shared" si="454"/>
        <v>0</v>
      </c>
      <c r="DU57" s="22"/>
      <c r="DV57" s="22">
        <f t="shared" si="309"/>
        <v>0</v>
      </c>
      <c r="DW57" s="22">
        <f t="shared" si="455"/>
        <v>0</v>
      </c>
      <c r="DX57" s="22"/>
      <c r="DY57" s="22">
        <f t="shared" si="311"/>
        <v>0</v>
      </c>
      <c r="DZ57" s="22">
        <f t="shared" si="456"/>
        <v>0</v>
      </c>
      <c r="EA57" s="22">
        <v>1</v>
      </c>
      <c r="EB57" s="22">
        <f t="shared" si="313"/>
        <v>3</v>
      </c>
      <c r="EC57" s="22">
        <f t="shared" si="457"/>
        <v>0</v>
      </c>
      <c r="ED57" s="22"/>
      <c r="EE57" s="22">
        <f t="shared" si="315"/>
        <v>0</v>
      </c>
      <c r="EF57" s="22">
        <f t="shared" si="458"/>
        <v>0</v>
      </c>
      <c r="EG57" s="22"/>
      <c r="EH57" s="22">
        <f t="shared" si="317"/>
        <v>0</v>
      </c>
      <c r="EI57" s="22">
        <f t="shared" si="459"/>
        <v>0</v>
      </c>
      <c r="EJ57" s="22"/>
      <c r="EK57" s="22">
        <f t="shared" si="319"/>
        <v>0</v>
      </c>
      <c r="EL57" s="22">
        <f t="shared" si="460"/>
        <v>0</v>
      </c>
      <c r="EM57" s="22"/>
      <c r="EN57" s="22">
        <f t="shared" si="321"/>
        <v>0</v>
      </c>
      <c r="EO57" s="22">
        <f t="shared" si="461"/>
        <v>0</v>
      </c>
    </row>
    <row r="58" spans="1:145">
      <c r="A58" s="15">
        <v>67</v>
      </c>
      <c r="B58" s="15" t="s">
        <v>562</v>
      </c>
      <c r="C58" s="16" t="s">
        <v>394</v>
      </c>
      <c r="D58" s="15" t="s">
        <v>563</v>
      </c>
      <c r="E58" s="15" t="s">
        <v>376</v>
      </c>
      <c r="F58" s="19">
        <f t="shared" si="415"/>
        <v>12</v>
      </c>
      <c r="G58" s="20"/>
      <c r="H58" s="21"/>
      <c r="I58" s="22">
        <f t="shared" si="231"/>
        <v>0</v>
      </c>
      <c r="J58" s="22">
        <f t="shared" si="416"/>
        <v>0</v>
      </c>
      <c r="K58" s="22"/>
      <c r="L58" s="22">
        <f t="shared" si="233"/>
        <v>0</v>
      </c>
      <c r="M58" s="22">
        <f t="shared" si="417"/>
        <v>0</v>
      </c>
      <c r="N58" s="22"/>
      <c r="O58" s="22">
        <f t="shared" si="235"/>
        <v>0</v>
      </c>
      <c r="P58" s="22">
        <f t="shared" si="418"/>
        <v>0</v>
      </c>
      <c r="Q58" s="22"/>
      <c r="R58" s="22">
        <f t="shared" si="237"/>
        <v>0</v>
      </c>
      <c r="S58" s="22">
        <f t="shared" si="419"/>
        <v>0</v>
      </c>
      <c r="T58" s="22"/>
      <c r="U58" s="22">
        <f t="shared" si="239"/>
        <v>0</v>
      </c>
      <c r="V58" s="22">
        <f t="shared" si="420"/>
        <v>0</v>
      </c>
      <c r="W58" s="22"/>
      <c r="X58" s="22">
        <f t="shared" si="241"/>
        <v>0</v>
      </c>
      <c r="Y58" s="22">
        <f t="shared" si="421"/>
        <v>0</v>
      </c>
      <c r="Z58" s="22"/>
      <c r="AA58" s="22">
        <f t="shared" si="243"/>
        <v>0</v>
      </c>
      <c r="AB58" s="22">
        <f t="shared" si="422"/>
        <v>0</v>
      </c>
      <c r="AC58" s="22"/>
      <c r="AD58" s="22">
        <f t="shared" si="245"/>
        <v>0</v>
      </c>
      <c r="AE58" s="22">
        <f t="shared" si="423"/>
        <v>0</v>
      </c>
      <c r="AF58" s="22"/>
      <c r="AG58" s="22">
        <f t="shared" si="247"/>
        <v>0</v>
      </c>
      <c r="AH58" s="22">
        <f t="shared" si="424"/>
        <v>0</v>
      </c>
      <c r="AI58" s="22"/>
      <c r="AJ58" s="22">
        <f t="shared" si="249"/>
        <v>0</v>
      </c>
      <c r="AK58" s="22">
        <f t="shared" si="425"/>
        <v>0</v>
      </c>
      <c r="AL58" s="22"/>
      <c r="AM58" s="22">
        <f t="shared" si="251"/>
        <v>0</v>
      </c>
      <c r="AN58" s="22">
        <f t="shared" si="426"/>
        <v>0</v>
      </c>
      <c r="AO58" s="22"/>
      <c r="AP58" s="22">
        <f t="shared" si="253"/>
        <v>0</v>
      </c>
      <c r="AQ58" s="22">
        <f t="shared" si="427"/>
        <v>0</v>
      </c>
      <c r="AR58" s="22"/>
      <c r="AS58" s="22">
        <f t="shared" si="255"/>
        <v>0</v>
      </c>
      <c r="AT58" s="22">
        <f t="shared" si="428"/>
        <v>0</v>
      </c>
      <c r="AU58" s="22"/>
      <c r="AV58" s="22">
        <f t="shared" si="257"/>
        <v>0</v>
      </c>
      <c r="AW58" s="22">
        <f t="shared" si="429"/>
        <v>0</v>
      </c>
      <c r="AX58" s="22">
        <v>2</v>
      </c>
      <c r="AY58" s="22">
        <f t="shared" si="259"/>
        <v>6</v>
      </c>
      <c r="AZ58" s="22">
        <f t="shared" si="430"/>
        <v>0</v>
      </c>
      <c r="BA58" s="22"/>
      <c r="BB58" s="22">
        <f t="shared" si="261"/>
        <v>0</v>
      </c>
      <c r="BC58" s="22">
        <f t="shared" si="431"/>
        <v>0</v>
      </c>
      <c r="BD58" s="22"/>
      <c r="BE58" s="22">
        <f t="shared" si="263"/>
        <v>0</v>
      </c>
      <c r="BF58" s="22">
        <f t="shared" si="432"/>
        <v>0</v>
      </c>
      <c r="BG58" s="22"/>
      <c r="BH58" s="22">
        <f t="shared" si="265"/>
        <v>0</v>
      </c>
      <c r="BI58" s="22">
        <f t="shared" si="433"/>
        <v>0</v>
      </c>
      <c r="BJ58" s="22"/>
      <c r="BK58" s="22">
        <f t="shared" si="267"/>
        <v>0</v>
      </c>
      <c r="BL58" s="22">
        <f t="shared" si="434"/>
        <v>0</v>
      </c>
      <c r="BM58" s="22"/>
      <c r="BN58" s="22">
        <f t="shared" si="269"/>
        <v>0</v>
      </c>
      <c r="BO58" s="22">
        <f t="shared" si="435"/>
        <v>0</v>
      </c>
      <c r="BP58" s="22"/>
      <c r="BQ58" s="22">
        <f t="shared" si="271"/>
        <v>0</v>
      </c>
      <c r="BR58" s="22">
        <f t="shared" si="436"/>
        <v>0</v>
      </c>
      <c r="BS58" s="22"/>
      <c r="BT58" s="22">
        <f t="shared" si="273"/>
        <v>0</v>
      </c>
      <c r="BU58" s="22">
        <f t="shared" si="437"/>
        <v>0</v>
      </c>
      <c r="BV58" s="22"/>
      <c r="BW58" s="22">
        <f t="shared" si="275"/>
        <v>0</v>
      </c>
      <c r="BX58" s="22">
        <f t="shared" si="438"/>
        <v>0</v>
      </c>
      <c r="BY58" s="22"/>
      <c r="BZ58" s="22">
        <f t="shared" si="277"/>
        <v>0</v>
      </c>
      <c r="CA58" s="22">
        <f t="shared" si="439"/>
        <v>0</v>
      </c>
      <c r="CB58" s="22"/>
      <c r="CC58" s="22">
        <f t="shared" si="279"/>
        <v>0</v>
      </c>
      <c r="CD58" s="22">
        <f t="shared" si="440"/>
        <v>0</v>
      </c>
      <c r="CE58" s="22"/>
      <c r="CF58" s="22">
        <f t="shared" si="281"/>
        <v>0</v>
      </c>
      <c r="CG58" s="22">
        <f t="shared" si="441"/>
        <v>0</v>
      </c>
      <c r="CH58" s="22"/>
      <c r="CI58" s="22">
        <f t="shared" si="283"/>
        <v>0</v>
      </c>
      <c r="CJ58" s="22">
        <f t="shared" si="442"/>
        <v>0</v>
      </c>
      <c r="CK58" s="22"/>
      <c r="CL58" s="22">
        <f t="shared" si="285"/>
        <v>0</v>
      </c>
      <c r="CM58" s="22">
        <f t="shared" si="443"/>
        <v>0</v>
      </c>
      <c r="CN58" s="22"/>
      <c r="CO58" s="22">
        <f t="shared" si="287"/>
        <v>0</v>
      </c>
      <c r="CP58" s="22">
        <f t="shared" si="444"/>
        <v>0</v>
      </c>
      <c r="CQ58" s="22"/>
      <c r="CR58" s="22">
        <f t="shared" si="289"/>
        <v>0</v>
      </c>
      <c r="CS58" s="22">
        <f t="shared" si="445"/>
        <v>0</v>
      </c>
      <c r="CT58" s="22"/>
      <c r="CU58" s="22">
        <f t="shared" si="291"/>
        <v>0</v>
      </c>
      <c r="CV58" s="22">
        <f t="shared" si="446"/>
        <v>0</v>
      </c>
      <c r="CW58" s="22"/>
      <c r="CX58" s="22">
        <f t="shared" si="293"/>
        <v>0</v>
      </c>
      <c r="CY58" s="22">
        <f t="shared" si="447"/>
        <v>0</v>
      </c>
      <c r="CZ58" s="22"/>
      <c r="DA58" s="22">
        <f t="shared" si="295"/>
        <v>0</v>
      </c>
      <c r="DB58" s="22">
        <f t="shared" si="448"/>
        <v>0</v>
      </c>
      <c r="DC58" s="22"/>
      <c r="DD58" s="22">
        <f t="shared" si="297"/>
        <v>0</v>
      </c>
      <c r="DE58" s="22">
        <f t="shared" si="449"/>
        <v>0</v>
      </c>
      <c r="DF58" s="22"/>
      <c r="DG58" s="22">
        <f t="shared" si="299"/>
        <v>0</v>
      </c>
      <c r="DH58" s="22">
        <f t="shared" si="450"/>
        <v>0</v>
      </c>
      <c r="DI58" s="22"/>
      <c r="DJ58" s="22">
        <f t="shared" si="301"/>
        <v>0</v>
      </c>
      <c r="DK58" s="22">
        <f t="shared" si="451"/>
        <v>0</v>
      </c>
      <c r="DL58" s="22"/>
      <c r="DM58" s="22">
        <f t="shared" si="303"/>
        <v>0</v>
      </c>
      <c r="DN58" s="22">
        <f t="shared" si="452"/>
        <v>0</v>
      </c>
      <c r="DO58" s="22"/>
      <c r="DP58" s="22">
        <f t="shared" si="305"/>
        <v>0</v>
      </c>
      <c r="DQ58" s="22">
        <f t="shared" si="453"/>
        <v>0</v>
      </c>
      <c r="DR58" s="22"/>
      <c r="DS58" s="22">
        <f t="shared" si="307"/>
        <v>0</v>
      </c>
      <c r="DT58" s="22">
        <f t="shared" si="454"/>
        <v>0</v>
      </c>
      <c r="DU58" s="22"/>
      <c r="DV58" s="22">
        <f t="shared" si="309"/>
        <v>0</v>
      </c>
      <c r="DW58" s="22">
        <f t="shared" si="455"/>
        <v>0</v>
      </c>
      <c r="DX58" s="22"/>
      <c r="DY58" s="22">
        <f t="shared" si="311"/>
        <v>0</v>
      </c>
      <c r="DZ58" s="22">
        <f t="shared" si="456"/>
        <v>0</v>
      </c>
      <c r="EA58" s="22">
        <v>2</v>
      </c>
      <c r="EB58" s="22">
        <f t="shared" si="313"/>
        <v>6</v>
      </c>
      <c r="EC58" s="22">
        <f t="shared" si="457"/>
        <v>0</v>
      </c>
      <c r="ED58" s="22"/>
      <c r="EE58" s="22">
        <f t="shared" si="315"/>
        <v>0</v>
      </c>
      <c r="EF58" s="22">
        <f t="shared" si="458"/>
        <v>0</v>
      </c>
      <c r="EG58" s="22"/>
      <c r="EH58" s="22">
        <f t="shared" si="317"/>
        <v>0</v>
      </c>
      <c r="EI58" s="22">
        <f t="shared" si="459"/>
        <v>0</v>
      </c>
      <c r="EJ58" s="22"/>
      <c r="EK58" s="22">
        <f t="shared" si="319"/>
        <v>0</v>
      </c>
      <c r="EL58" s="22">
        <f t="shared" si="460"/>
        <v>0</v>
      </c>
      <c r="EM58" s="22"/>
      <c r="EN58" s="22">
        <f t="shared" si="321"/>
        <v>0</v>
      </c>
      <c r="EO58" s="22">
        <f t="shared" si="461"/>
        <v>0</v>
      </c>
    </row>
    <row r="59" spans="1:145">
      <c r="A59" s="15">
        <v>68</v>
      </c>
      <c r="B59" s="15" t="s">
        <v>449</v>
      </c>
      <c r="C59" s="16" t="s">
        <v>382</v>
      </c>
      <c r="D59" s="50" t="s">
        <v>450</v>
      </c>
      <c r="E59" s="16" t="s">
        <v>451</v>
      </c>
      <c r="F59" s="19">
        <f t="shared" si="415"/>
        <v>6</v>
      </c>
      <c r="G59" s="20"/>
      <c r="H59" s="21"/>
      <c r="I59" s="22">
        <f t="shared" si="231"/>
        <v>0</v>
      </c>
      <c r="J59" s="22">
        <f t="shared" si="416"/>
        <v>0</v>
      </c>
      <c r="K59" s="22"/>
      <c r="L59" s="22">
        <f t="shared" si="233"/>
        <v>0</v>
      </c>
      <c r="M59" s="22">
        <f t="shared" si="417"/>
        <v>0</v>
      </c>
      <c r="N59" s="22"/>
      <c r="O59" s="22">
        <f t="shared" si="235"/>
        <v>0</v>
      </c>
      <c r="P59" s="22">
        <f t="shared" si="418"/>
        <v>0</v>
      </c>
      <c r="Q59" s="22"/>
      <c r="R59" s="22">
        <f t="shared" si="237"/>
        <v>0</v>
      </c>
      <c r="S59" s="22">
        <f t="shared" si="419"/>
        <v>0</v>
      </c>
      <c r="T59" s="22"/>
      <c r="U59" s="22">
        <f t="shared" si="239"/>
        <v>0</v>
      </c>
      <c r="V59" s="22">
        <f t="shared" si="420"/>
        <v>0</v>
      </c>
      <c r="W59" s="22"/>
      <c r="X59" s="22">
        <f t="shared" si="241"/>
        <v>0</v>
      </c>
      <c r="Y59" s="22">
        <f t="shared" si="421"/>
        <v>0</v>
      </c>
      <c r="Z59" s="22"/>
      <c r="AA59" s="22">
        <f t="shared" si="243"/>
        <v>0</v>
      </c>
      <c r="AB59" s="22">
        <f t="shared" si="422"/>
        <v>0</v>
      </c>
      <c r="AC59" s="22"/>
      <c r="AD59" s="22">
        <f t="shared" si="245"/>
        <v>0</v>
      </c>
      <c r="AE59" s="22">
        <f t="shared" si="423"/>
        <v>0</v>
      </c>
      <c r="AF59" s="22"/>
      <c r="AG59" s="22">
        <f t="shared" si="247"/>
        <v>0</v>
      </c>
      <c r="AH59" s="22">
        <f t="shared" si="424"/>
        <v>0</v>
      </c>
      <c r="AI59" s="22"/>
      <c r="AJ59" s="22">
        <f t="shared" si="249"/>
        <v>0</v>
      </c>
      <c r="AK59" s="22">
        <f t="shared" si="425"/>
        <v>0</v>
      </c>
      <c r="AL59" s="22"/>
      <c r="AM59" s="22">
        <f t="shared" si="251"/>
        <v>0</v>
      </c>
      <c r="AN59" s="22">
        <f t="shared" si="426"/>
        <v>0</v>
      </c>
      <c r="AO59" s="22"/>
      <c r="AP59" s="22">
        <f t="shared" si="253"/>
        <v>0</v>
      </c>
      <c r="AQ59" s="22">
        <f t="shared" si="427"/>
        <v>0</v>
      </c>
      <c r="AR59" s="22"/>
      <c r="AS59" s="22">
        <f t="shared" si="255"/>
        <v>0</v>
      </c>
      <c r="AT59" s="22">
        <f t="shared" si="428"/>
        <v>0</v>
      </c>
      <c r="AU59" s="22"/>
      <c r="AV59" s="22">
        <f t="shared" si="257"/>
        <v>0</v>
      </c>
      <c r="AW59" s="22">
        <f t="shared" si="429"/>
        <v>0</v>
      </c>
      <c r="AX59" s="22">
        <v>1</v>
      </c>
      <c r="AY59" s="22">
        <f t="shared" si="259"/>
        <v>3</v>
      </c>
      <c r="AZ59" s="22">
        <f t="shared" si="430"/>
        <v>0</v>
      </c>
      <c r="BA59" s="22"/>
      <c r="BB59" s="22">
        <f t="shared" si="261"/>
        <v>0</v>
      </c>
      <c r="BC59" s="22">
        <f t="shared" si="431"/>
        <v>0</v>
      </c>
      <c r="BD59" s="22"/>
      <c r="BE59" s="22">
        <f t="shared" si="263"/>
        <v>0</v>
      </c>
      <c r="BF59" s="22">
        <f t="shared" si="432"/>
        <v>0</v>
      </c>
      <c r="BG59" s="22">
        <v>1</v>
      </c>
      <c r="BH59" s="22">
        <f t="shared" si="265"/>
        <v>0</v>
      </c>
      <c r="BI59" s="22">
        <f t="shared" si="433"/>
        <v>0</v>
      </c>
      <c r="BJ59" s="22"/>
      <c r="BK59" s="22">
        <f t="shared" si="267"/>
        <v>0</v>
      </c>
      <c r="BL59" s="22">
        <f t="shared" si="434"/>
        <v>0</v>
      </c>
      <c r="BM59" s="22"/>
      <c r="BN59" s="22">
        <f t="shared" si="269"/>
        <v>0</v>
      </c>
      <c r="BO59" s="22">
        <f t="shared" si="435"/>
        <v>0</v>
      </c>
      <c r="BP59" s="22"/>
      <c r="BQ59" s="22">
        <f t="shared" si="271"/>
        <v>0</v>
      </c>
      <c r="BR59" s="22">
        <f t="shared" si="436"/>
        <v>0</v>
      </c>
      <c r="BS59" s="22"/>
      <c r="BT59" s="22">
        <f t="shared" si="273"/>
        <v>0</v>
      </c>
      <c r="BU59" s="22">
        <f t="shared" si="437"/>
        <v>0</v>
      </c>
      <c r="BV59" s="22"/>
      <c r="BW59" s="22">
        <f t="shared" si="275"/>
        <v>0</v>
      </c>
      <c r="BX59" s="22">
        <f t="shared" si="438"/>
        <v>0</v>
      </c>
      <c r="BY59" s="22"/>
      <c r="BZ59" s="22">
        <f t="shared" si="277"/>
        <v>0</v>
      </c>
      <c r="CA59" s="22">
        <f t="shared" si="439"/>
        <v>0</v>
      </c>
      <c r="CB59" s="22"/>
      <c r="CC59" s="22">
        <f t="shared" si="279"/>
        <v>0</v>
      </c>
      <c r="CD59" s="22">
        <f t="shared" si="440"/>
        <v>0</v>
      </c>
      <c r="CE59" s="22"/>
      <c r="CF59" s="22">
        <f t="shared" si="281"/>
        <v>0</v>
      </c>
      <c r="CG59" s="22">
        <f t="shared" si="441"/>
        <v>0</v>
      </c>
      <c r="CH59" s="22"/>
      <c r="CI59" s="22">
        <f t="shared" si="283"/>
        <v>0</v>
      </c>
      <c r="CJ59" s="22">
        <f t="shared" si="442"/>
        <v>0</v>
      </c>
      <c r="CK59" s="22"/>
      <c r="CL59" s="22">
        <f t="shared" si="285"/>
        <v>0</v>
      </c>
      <c r="CM59" s="22">
        <f t="shared" si="443"/>
        <v>0</v>
      </c>
      <c r="CN59" s="22"/>
      <c r="CO59" s="22">
        <f t="shared" si="287"/>
        <v>0</v>
      </c>
      <c r="CP59" s="22">
        <f t="shared" si="444"/>
        <v>0</v>
      </c>
      <c r="CQ59" s="22"/>
      <c r="CR59" s="22">
        <f t="shared" si="289"/>
        <v>0</v>
      </c>
      <c r="CS59" s="22">
        <f t="shared" si="445"/>
        <v>0</v>
      </c>
      <c r="CT59" s="22"/>
      <c r="CU59" s="22">
        <f t="shared" si="291"/>
        <v>0</v>
      </c>
      <c r="CV59" s="22">
        <f t="shared" si="446"/>
        <v>0</v>
      </c>
      <c r="CW59" s="22"/>
      <c r="CX59" s="22">
        <f t="shared" si="293"/>
        <v>0</v>
      </c>
      <c r="CY59" s="22">
        <f t="shared" si="447"/>
        <v>0</v>
      </c>
      <c r="CZ59" s="22"/>
      <c r="DA59" s="22">
        <f t="shared" si="295"/>
        <v>0</v>
      </c>
      <c r="DB59" s="22">
        <f t="shared" si="448"/>
        <v>0</v>
      </c>
      <c r="DC59" s="22"/>
      <c r="DD59" s="22">
        <f t="shared" si="297"/>
        <v>0</v>
      </c>
      <c r="DE59" s="22">
        <f t="shared" si="449"/>
        <v>0</v>
      </c>
      <c r="DF59" s="22"/>
      <c r="DG59" s="22">
        <f t="shared" si="299"/>
        <v>0</v>
      </c>
      <c r="DH59" s="22">
        <f t="shared" si="450"/>
        <v>0</v>
      </c>
      <c r="DI59" s="22"/>
      <c r="DJ59" s="22">
        <f t="shared" si="301"/>
        <v>0</v>
      </c>
      <c r="DK59" s="22">
        <f t="shared" si="451"/>
        <v>0</v>
      </c>
      <c r="DL59" s="22"/>
      <c r="DM59" s="22">
        <f t="shared" si="303"/>
        <v>0</v>
      </c>
      <c r="DN59" s="22">
        <f t="shared" si="452"/>
        <v>0</v>
      </c>
      <c r="DO59" s="22"/>
      <c r="DP59" s="22">
        <f t="shared" si="305"/>
        <v>0</v>
      </c>
      <c r="DQ59" s="22">
        <f t="shared" si="453"/>
        <v>0</v>
      </c>
      <c r="DR59" s="22"/>
      <c r="DS59" s="22">
        <f t="shared" si="307"/>
        <v>0</v>
      </c>
      <c r="DT59" s="22">
        <f t="shared" si="454"/>
        <v>0</v>
      </c>
      <c r="DU59" s="22"/>
      <c r="DV59" s="22">
        <f t="shared" si="309"/>
        <v>0</v>
      </c>
      <c r="DW59" s="22">
        <f t="shared" si="455"/>
        <v>0</v>
      </c>
      <c r="DX59" s="22"/>
      <c r="DY59" s="22">
        <f t="shared" si="311"/>
        <v>0</v>
      </c>
      <c r="DZ59" s="22">
        <f t="shared" si="456"/>
        <v>0</v>
      </c>
      <c r="EA59" s="22">
        <v>1</v>
      </c>
      <c r="EB59" s="22">
        <f t="shared" si="313"/>
        <v>3</v>
      </c>
      <c r="EC59" s="22">
        <f t="shared" si="457"/>
        <v>0</v>
      </c>
      <c r="ED59" s="22"/>
      <c r="EE59" s="22">
        <f t="shared" si="315"/>
        <v>0</v>
      </c>
      <c r="EF59" s="22">
        <f t="shared" si="458"/>
        <v>0</v>
      </c>
      <c r="EG59" s="22"/>
      <c r="EH59" s="22">
        <f t="shared" si="317"/>
        <v>0</v>
      </c>
      <c r="EI59" s="22">
        <f t="shared" si="459"/>
        <v>0</v>
      </c>
      <c r="EJ59" s="22"/>
      <c r="EK59" s="22">
        <f t="shared" si="319"/>
        <v>0</v>
      </c>
      <c r="EL59" s="22">
        <f t="shared" si="460"/>
        <v>0</v>
      </c>
      <c r="EM59" s="22"/>
      <c r="EN59" s="22">
        <f t="shared" si="321"/>
        <v>0</v>
      </c>
      <c r="EO59" s="22">
        <f t="shared" si="461"/>
        <v>0</v>
      </c>
    </row>
    <row r="60" spans="1:145">
      <c r="A60" s="15">
        <v>69</v>
      </c>
      <c r="B60" s="15" t="s">
        <v>453</v>
      </c>
      <c r="C60" s="16" t="s">
        <v>382</v>
      </c>
      <c r="D60" s="16" t="s">
        <v>564</v>
      </c>
      <c r="E60" s="15" t="s">
        <v>429</v>
      </c>
      <c r="F60" s="19">
        <f t="shared" si="415"/>
        <v>6</v>
      </c>
      <c r="G60" s="20"/>
      <c r="H60" s="21"/>
      <c r="I60" s="22">
        <f t="shared" si="231"/>
        <v>0</v>
      </c>
      <c r="J60" s="22">
        <f>$G60*H60</f>
        <v>0</v>
      </c>
      <c r="K60" s="22"/>
      <c r="L60" s="22">
        <f t="shared" si="233"/>
        <v>0</v>
      </c>
      <c r="M60" s="22">
        <f>$G60*K60</f>
        <v>0</v>
      </c>
      <c r="N60" s="22"/>
      <c r="O60" s="22">
        <f t="shared" si="235"/>
        <v>0</v>
      </c>
      <c r="P60" s="22">
        <f>$G60*N60</f>
        <v>0</v>
      </c>
      <c r="Q60" s="22"/>
      <c r="R60" s="22">
        <f t="shared" si="237"/>
        <v>0</v>
      </c>
      <c r="S60" s="22">
        <f>$G60*Q60</f>
        <v>0</v>
      </c>
      <c r="T60" s="22"/>
      <c r="U60" s="22">
        <f t="shared" si="239"/>
        <v>0</v>
      </c>
      <c r="V60" s="22">
        <f>$G60*T60</f>
        <v>0</v>
      </c>
      <c r="W60" s="22"/>
      <c r="X60" s="22">
        <f t="shared" si="241"/>
        <v>0</v>
      </c>
      <c r="Y60" s="22">
        <f>$G60*W60</f>
        <v>0</v>
      </c>
      <c r="Z60" s="22"/>
      <c r="AA60" s="22">
        <f t="shared" si="243"/>
        <v>0</v>
      </c>
      <c r="AB60" s="22">
        <f>$G60*Z60</f>
        <v>0</v>
      </c>
      <c r="AC60" s="22"/>
      <c r="AD60" s="22">
        <f t="shared" si="245"/>
        <v>0</v>
      </c>
      <c r="AE60" s="22">
        <f>$G60*AC60</f>
        <v>0</v>
      </c>
      <c r="AF60" s="22"/>
      <c r="AG60" s="22">
        <f t="shared" si="247"/>
        <v>0</v>
      </c>
      <c r="AH60" s="22">
        <f>$G60*AF60</f>
        <v>0</v>
      </c>
      <c r="AI60" s="22"/>
      <c r="AJ60" s="22">
        <f t="shared" si="249"/>
        <v>0</v>
      </c>
      <c r="AK60" s="22">
        <f>$G60*AI60</f>
        <v>0</v>
      </c>
      <c r="AL60" s="22"/>
      <c r="AM60" s="22">
        <f t="shared" si="251"/>
        <v>0</v>
      </c>
      <c r="AN60" s="22">
        <f>$G60*AL60</f>
        <v>0</v>
      </c>
      <c r="AO60" s="22"/>
      <c r="AP60" s="22">
        <f t="shared" si="253"/>
        <v>0</v>
      </c>
      <c r="AQ60" s="22">
        <f>$G60*AO60</f>
        <v>0</v>
      </c>
      <c r="AR60" s="22"/>
      <c r="AS60" s="22">
        <f t="shared" si="255"/>
        <v>0</v>
      </c>
      <c r="AT60" s="22">
        <f>$G60*AR60</f>
        <v>0</v>
      </c>
      <c r="AU60" s="22"/>
      <c r="AV60" s="22">
        <f t="shared" si="257"/>
        <v>0</v>
      </c>
      <c r="AW60" s="22">
        <f>$G60*AU60</f>
        <v>0</v>
      </c>
      <c r="AX60" s="22">
        <v>1</v>
      </c>
      <c r="AY60" s="22">
        <f t="shared" si="259"/>
        <v>3</v>
      </c>
      <c r="AZ60" s="22">
        <f>$G60*AX60</f>
        <v>0</v>
      </c>
      <c r="BA60" s="22"/>
      <c r="BB60" s="22">
        <f t="shared" si="261"/>
        <v>0</v>
      </c>
      <c r="BC60" s="22">
        <f>$G60*BA60</f>
        <v>0</v>
      </c>
      <c r="BD60" s="22"/>
      <c r="BE60" s="22">
        <f t="shared" si="263"/>
        <v>0</v>
      </c>
      <c r="BF60" s="22">
        <f>$G60*BD60</f>
        <v>0</v>
      </c>
      <c r="BG60" s="22"/>
      <c r="BH60" s="22">
        <f t="shared" si="265"/>
        <v>0</v>
      </c>
      <c r="BI60" s="22">
        <f>$G60*BG60</f>
        <v>0</v>
      </c>
      <c r="BJ60" s="22"/>
      <c r="BK60" s="22">
        <f t="shared" si="267"/>
        <v>0</v>
      </c>
      <c r="BL60" s="22">
        <f>$G60*BJ60</f>
        <v>0</v>
      </c>
      <c r="BM60" s="22"/>
      <c r="BN60" s="22">
        <f t="shared" si="269"/>
        <v>0</v>
      </c>
      <c r="BO60" s="22">
        <f>$G60*BM60</f>
        <v>0</v>
      </c>
      <c r="BP60" s="22"/>
      <c r="BQ60" s="22">
        <f t="shared" si="271"/>
        <v>0</v>
      </c>
      <c r="BR60" s="22">
        <f>$G60*BP60</f>
        <v>0</v>
      </c>
      <c r="BS60" s="22"/>
      <c r="BT60" s="22">
        <f t="shared" si="273"/>
        <v>0</v>
      </c>
      <c r="BU60" s="22">
        <f>$G60*BS60</f>
        <v>0</v>
      </c>
      <c r="BV60" s="22"/>
      <c r="BW60" s="22">
        <f t="shared" si="275"/>
        <v>0</v>
      </c>
      <c r="BX60" s="22">
        <f>$G60*BV60</f>
        <v>0</v>
      </c>
      <c r="BY60" s="22"/>
      <c r="BZ60" s="22">
        <f t="shared" si="277"/>
        <v>0</v>
      </c>
      <c r="CA60" s="22">
        <f>$G60*BY60</f>
        <v>0</v>
      </c>
      <c r="CB60" s="22"/>
      <c r="CC60" s="22">
        <f t="shared" si="279"/>
        <v>0</v>
      </c>
      <c r="CD60" s="22">
        <f>$G60*CB60</f>
        <v>0</v>
      </c>
      <c r="CE60" s="22"/>
      <c r="CF60" s="22">
        <f t="shared" si="281"/>
        <v>0</v>
      </c>
      <c r="CG60" s="22">
        <f>$G60*CE60</f>
        <v>0</v>
      </c>
      <c r="CH60" s="22"/>
      <c r="CI60" s="22">
        <f t="shared" si="283"/>
        <v>0</v>
      </c>
      <c r="CJ60" s="22">
        <f>$G60*CH60</f>
        <v>0</v>
      </c>
      <c r="CK60" s="22"/>
      <c r="CL60" s="22">
        <f t="shared" si="285"/>
        <v>0</v>
      </c>
      <c r="CM60" s="22">
        <f>$G60*CK60</f>
        <v>0</v>
      </c>
      <c r="CN60" s="22"/>
      <c r="CO60" s="22">
        <f t="shared" si="287"/>
        <v>0</v>
      </c>
      <c r="CP60" s="22">
        <f>$G60*CN60</f>
        <v>0</v>
      </c>
      <c r="CQ60" s="22"/>
      <c r="CR60" s="22">
        <f t="shared" si="289"/>
        <v>0</v>
      </c>
      <c r="CS60" s="22">
        <f>$G60*CQ60</f>
        <v>0</v>
      </c>
      <c r="CT60" s="22"/>
      <c r="CU60" s="22">
        <f t="shared" si="291"/>
        <v>0</v>
      </c>
      <c r="CV60" s="22">
        <f>$G60*CT60</f>
        <v>0</v>
      </c>
      <c r="CW60" s="22"/>
      <c r="CX60" s="22">
        <f t="shared" si="293"/>
        <v>0</v>
      </c>
      <c r="CY60" s="22">
        <f>$G60*CW60</f>
        <v>0</v>
      </c>
      <c r="CZ60" s="22"/>
      <c r="DA60" s="22">
        <f t="shared" si="295"/>
        <v>0</v>
      </c>
      <c r="DB60" s="22">
        <f>$G60*CZ60</f>
        <v>0</v>
      </c>
      <c r="DC60" s="22"/>
      <c r="DD60" s="22">
        <f t="shared" si="297"/>
        <v>0</v>
      </c>
      <c r="DE60" s="22">
        <f>$G60*DC60</f>
        <v>0</v>
      </c>
      <c r="DF60" s="22"/>
      <c r="DG60" s="22">
        <f t="shared" si="299"/>
        <v>0</v>
      </c>
      <c r="DH60" s="22">
        <f>$G60*DF60</f>
        <v>0</v>
      </c>
      <c r="DI60" s="22"/>
      <c r="DJ60" s="22">
        <f t="shared" si="301"/>
        <v>0</v>
      </c>
      <c r="DK60" s="22">
        <f>$G60*DI60</f>
        <v>0</v>
      </c>
      <c r="DL60" s="22"/>
      <c r="DM60" s="22">
        <f t="shared" si="303"/>
        <v>0</v>
      </c>
      <c r="DN60" s="22">
        <f>$G60*DL60</f>
        <v>0</v>
      </c>
      <c r="DO60" s="22"/>
      <c r="DP60" s="22">
        <f t="shared" si="305"/>
        <v>0</v>
      </c>
      <c r="DQ60" s="22">
        <f>$G60*DO60</f>
        <v>0</v>
      </c>
      <c r="DR60" s="22"/>
      <c r="DS60" s="22">
        <f t="shared" si="307"/>
        <v>0</v>
      </c>
      <c r="DT60" s="22">
        <f>$G60*DR60</f>
        <v>0</v>
      </c>
      <c r="DU60" s="22"/>
      <c r="DV60" s="22">
        <f t="shared" si="309"/>
        <v>0</v>
      </c>
      <c r="DW60" s="22">
        <f>$G60*DU60</f>
        <v>0</v>
      </c>
      <c r="DX60" s="22"/>
      <c r="DY60" s="22">
        <f t="shared" si="311"/>
        <v>0</v>
      </c>
      <c r="DZ60" s="22">
        <f>$G60*DX60</f>
        <v>0</v>
      </c>
      <c r="EA60" s="22">
        <v>1</v>
      </c>
      <c r="EB60" s="22">
        <f t="shared" si="313"/>
        <v>3</v>
      </c>
      <c r="EC60" s="22">
        <f>$G60*EA60</f>
        <v>0</v>
      </c>
      <c r="ED60" s="22"/>
      <c r="EE60" s="22">
        <f t="shared" si="315"/>
        <v>0</v>
      </c>
      <c r="EF60" s="22">
        <f>$G60*ED60</f>
        <v>0</v>
      </c>
      <c r="EG60" s="22"/>
      <c r="EH60" s="22">
        <f t="shared" si="317"/>
        <v>0</v>
      </c>
      <c r="EI60" s="22">
        <f>$G60*EG60</f>
        <v>0</v>
      </c>
      <c r="EJ60" s="22"/>
      <c r="EK60" s="22">
        <f t="shared" si="319"/>
        <v>0</v>
      </c>
      <c r="EL60" s="22">
        <f>$G60*EJ60</f>
        <v>0</v>
      </c>
      <c r="EM60" s="22"/>
      <c r="EN60" s="22">
        <f t="shared" si="321"/>
        <v>0</v>
      </c>
      <c r="EO60" s="22">
        <f>$G60*EM60</f>
        <v>0</v>
      </c>
    </row>
    <row r="61" spans="1:145">
      <c r="A61" s="15">
        <v>70</v>
      </c>
      <c r="B61" s="15" t="s">
        <v>411</v>
      </c>
      <c r="C61" s="16" t="s">
        <v>401</v>
      </c>
      <c r="D61" s="15" t="s">
        <v>412</v>
      </c>
      <c r="E61" s="15" t="s">
        <v>399</v>
      </c>
      <c r="F61" s="19">
        <f t="shared" si="415"/>
        <v>3</v>
      </c>
      <c r="G61" s="20"/>
      <c r="H61" s="21"/>
      <c r="I61" s="22">
        <f t="shared" si="231"/>
        <v>0</v>
      </c>
      <c r="J61" s="22">
        <f t="shared" ref="J61:J63" si="462">$G61*H61</f>
        <v>0</v>
      </c>
      <c r="K61" s="22"/>
      <c r="L61" s="22">
        <f t="shared" si="233"/>
        <v>0</v>
      </c>
      <c r="M61" s="22">
        <f t="shared" ref="M61:M63" si="463">$G61*K61</f>
        <v>0</v>
      </c>
      <c r="N61" s="22"/>
      <c r="O61" s="22">
        <f t="shared" si="235"/>
        <v>0</v>
      </c>
      <c r="P61" s="22">
        <f t="shared" ref="P61:P63" si="464">$G61*N61</f>
        <v>0</v>
      </c>
      <c r="Q61" s="22"/>
      <c r="R61" s="22">
        <f t="shared" si="237"/>
        <v>0</v>
      </c>
      <c r="S61" s="22">
        <f t="shared" ref="S61:S63" si="465">$G61*Q61</f>
        <v>0</v>
      </c>
      <c r="T61" s="22"/>
      <c r="U61" s="22">
        <f t="shared" si="239"/>
        <v>0</v>
      </c>
      <c r="V61" s="22">
        <f t="shared" ref="V61:V63" si="466">$G61*T61</f>
        <v>0</v>
      </c>
      <c r="W61" s="22"/>
      <c r="X61" s="22">
        <f t="shared" si="241"/>
        <v>0</v>
      </c>
      <c r="Y61" s="22">
        <f t="shared" ref="Y61:Y63" si="467">$G61*W61</f>
        <v>0</v>
      </c>
      <c r="Z61" s="22"/>
      <c r="AA61" s="22">
        <f t="shared" si="243"/>
        <v>0</v>
      </c>
      <c r="AB61" s="22">
        <f t="shared" ref="AB61:AB63" si="468">$G61*Z61</f>
        <v>0</v>
      </c>
      <c r="AC61" s="22"/>
      <c r="AD61" s="22">
        <f t="shared" si="245"/>
        <v>0</v>
      </c>
      <c r="AE61" s="22">
        <f t="shared" ref="AE61:AE63" si="469">$G61*AC61</f>
        <v>0</v>
      </c>
      <c r="AF61" s="22"/>
      <c r="AG61" s="22">
        <f t="shared" si="247"/>
        <v>0</v>
      </c>
      <c r="AH61" s="22">
        <f t="shared" ref="AH61:AH63" si="470">$G61*AF61</f>
        <v>0</v>
      </c>
      <c r="AI61" s="22"/>
      <c r="AJ61" s="22">
        <f t="shared" si="249"/>
        <v>0</v>
      </c>
      <c r="AK61" s="22">
        <f t="shared" ref="AK61:AK63" si="471">$G61*AI61</f>
        <v>0</v>
      </c>
      <c r="AL61" s="22"/>
      <c r="AM61" s="22">
        <f t="shared" si="251"/>
        <v>0</v>
      </c>
      <c r="AN61" s="22">
        <f t="shared" ref="AN61:AN63" si="472">$G61*AL61</f>
        <v>0</v>
      </c>
      <c r="AO61" s="22"/>
      <c r="AP61" s="22">
        <f t="shared" si="253"/>
        <v>0</v>
      </c>
      <c r="AQ61" s="22">
        <f t="shared" ref="AQ61:AQ63" si="473">$G61*AO61</f>
        <v>0</v>
      </c>
      <c r="AR61" s="22"/>
      <c r="AS61" s="22">
        <f t="shared" si="255"/>
        <v>0</v>
      </c>
      <c r="AT61" s="22">
        <f t="shared" ref="AT61:AT63" si="474">$G61*AR61</f>
        <v>0</v>
      </c>
      <c r="AU61" s="22"/>
      <c r="AV61" s="22">
        <f t="shared" si="257"/>
        <v>0</v>
      </c>
      <c r="AW61" s="22">
        <f t="shared" ref="AW61:AW63" si="475">$G61*AU61</f>
        <v>0</v>
      </c>
      <c r="AX61" s="22"/>
      <c r="AY61" s="22">
        <f t="shared" si="259"/>
        <v>0</v>
      </c>
      <c r="AZ61" s="22">
        <f t="shared" ref="AZ61:AZ63" si="476">$G61*AX61</f>
        <v>0</v>
      </c>
      <c r="BA61" s="22">
        <v>3</v>
      </c>
      <c r="BB61" s="22">
        <f t="shared" si="261"/>
        <v>3</v>
      </c>
      <c r="BC61" s="22">
        <f t="shared" ref="BC61:BC63" si="477">$G61*BA61</f>
        <v>0</v>
      </c>
      <c r="BD61" s="22"/>
      <c r="BE61" s="22">
        <f t="shared" si="263"/>
        <v>0</v>
      </c>
      <c r="BF61" s="22">
        <f t="shared" ref="BF61:BF63" si="478">$G61*BD61</f>
        <v>0</v>
      </c>
      <c r="BG61" s="22"/>
      <c r="BH61" s="22">
        <f t="shared" si="265"/>
        <v>0</v>
      </c>
      <c r="BI61" s="22">
        <f t="shared" ref="BI61:BI63" si="479">$G61*BG61</f>
        <v>0</v>
      </c>
      <c r="BJ61" s="22"/>
      <c r="BK61" s="22">
        <f t="shared" si="267"/>
        <v>0</v>
      </c>
      <c r="BL61" s="22">
        <f t="shared" ref="BL61:BL63" si="480">$G61*BJ61</f>
        <v>0</v>
      </c>
      <c r="BM61" s="22"/>
      <c r="BN61" s="22">
        <f t="shared" si="269"/>
        <v>0</v>
      </c>
      <c r="BO61" s="22">
        <f t="shared" ref="BO61:BO63" si="481">$G61*BM61</f>
        <v>0</v>
      </c>
      <c r="BP61" s="22"/>
      <c r="BQ61" s="22">
        <f t="shared" si="271"/>
        <v>0</v>
      </c>
      <c r="BR61" s="22">
        <f t="shared" ref="BR61:BR63" si="482">$G61*BP61</f>
        <v>0</v>
      </c>
      <c r="BS61" s="22"/>
      <c r="BT61" s="22">
        <f t="shared" si="273"/>
        <v>0</v>
      </c>
      <c r="BU61" s="22">
        <f t="shared" ref="BU61:BU63" si="483">$G61*BS61</f>
        <v>0</v>
      </c>
      <c r="BV61" s="22"/>
      <c r="BW61" s="22">
        <f t="shared" si="275"/>
        <v>0</v>
      </c>
      <c r="BX61" s="22">
        <f t="shared" ref="BX61:BX63" si="484">$G61*BV61</f>
        <v>0</v>
      </c>
      <c r="BY61" s="22"/>
      <c r="BZ61" s="22">
        <f t="shared" si="277"/>
        <v>0</v>
      </c>
      <c r="CA61" s="22">
        <f t="shared" ref="CA61:CA63" si="485">$G61*BY61</f>
        <v>0</v>
      </c>
      <c r="CB61" s="22"/>
      <c r="CC61" s="22">
        <f t="shared" si="279"/>
        <v>0</v>
      </c>
      <c r="CD61" s="22">
        <f t="shared" ref="CD61:CD63" si="486">$G61*CB61</f>
        <v>0</v>
      </c>
      <c r="CE61" s="22"/>
      <c r="CF61" s="22">
        <f t="shared" si="281"/>
        <v>0</v>
      </c>
      <c r="CG61" s="22">
        <f t="shared" ref="CG61:CG63" si="487">$G61*CE61</f>
        <v>0</v>
      </c>
      <c r="CH61" s="22"/>
      <c r="CI61" s="22">
        <f t="shared" si="283"/>
        <v>0</v>
      </c>
      <c r="CJ61" s="22">
        <f t="shared" ref="CJ61:CJ63" si="488">$G61*CH61</f>
        <v>0</v>
      </c>
      <c r="CK61" s="22"/>
      <c r="CL61" s="22">
        <f t="shared" si="285"/>
        <v>0</v>
      </c>
      <c r="CM61" s="22">
        <f t="shared" ref="CM61:CM63" si="489">$G61*CK61</f>
        <v>0</v>
      </c>
      <c r="CN61" s="22"/>
      <c r="CO61" s="22">
        <f t="shared" si="287"/>
        <v>0</v>
      </c>
      <c r="CP61" s="22">
        <f t="shared" ref="CP61:CP63" si="490">$G61*CN61</f>
        <v>0</v>
      </c>
      <c r="CQ61" s="22"/>
      <c r="CR61" s="22">
        <f t="shared" si="289"/>
        <v>0</v>
      </c>
      <c r="CS61" s="22">
        <f t="shared" ref="CS61:CS63" si="491">$G61*CQ61</f>
        <v>0</v>
      </c>
      <c r="CT61" s="22"/>
      <c r="CU61" s="22">
        <f t="shared" si="291"/>
        <v>0</v>
      </c>
      <c r="CV61" s="22">
        <f t="shared" ref="CV61:CV63" si="492">$G61*CT61</f>
        <v>0</v>
      </c>
      <c r="CW61" s="22"/>
      <c r="CX61" s="22">
        <f t="shared" si="293"/>
        <v>0</v>
      </c>
      <c r="CY61" s="22">
        <f t="shared" ref="CY61:CY63" si="493">$G61*CW61</f>
        <v>0</v>
      </c>
      <c r="CZ61" s="22"/>
      <c r="DA61" s="22">
        <f t="shared" si="295"/>
        <v>0</v>
      </c>
      <c r="DB61" s="22">
        <f t="shared" ref="DB61:DB63" si="494">$G61*CZ61</f>
        <v>0</v>
      </c>
      <c r="DC61" s="22"/>
      <c r="DD61" s="22">
        <f t="shared" si="297"/>
        <v>0</v>
      </c>
      <c r="DE61" s="22">
        <f t="shared" ref="DE61:DE63" si="495">$G61*DC61</f>
        <v>0</v>
      </c>
      <c r="DF61" s="22"/>
      <c r="DG61" s="22">
        <f t="shared" si="299"/>
        <v>0</v>
      </c>
      <c r="DH61" s="22">
        <f t="shared" ref="DH61:DH63" si="496">$G61*DF61</f>
        <v>0</v>
      </c>
      <c r="DI61" s="22"/>
      <c r="DJ61" s="22">
        <f t="shared" si="301"/>
        <v>0</v>
      </c>
      <c r="DK61" s="22">
        <f t="shared" ref="DK61:DK63" si="497">$G61*DI61</f>
        <v>0</v>
      </c>
      <c r="DL61" s="22"/>
      <c r="DM61" s="22">
        <f t="shared" si="303"/>
        <v>0</v>
      </c>
      <c r="DN61" s="22">
        <f t="shared" ref="DN61:DN63" si="498">$G61*DL61</f>
        <v>0</v>
      </c>
      <c r="DO61" s="22"/>
      <c r="DP61" s="22">
        <f t="shared" si="305"/>
        <v>0</v>
      </c>
      <c r="DQ61" s="22">
        <f t="shared" ref="DQ61:DQ63" si="499">$G61*DO61</f>
        <v>0</v>
      </c>
      <c r="DR61" s="22"/>
      <c r="DS61" s="22">
        <f t="shared" si="307"/>
        <v>0</v>
      </c>
      <c r="DT61" s="22">
        <f t="shared" ref="DT61:DT63" si="500">$G61*DR61</f>
        <v>0</v>
      </c>
      <c r="DU61" s="22"/>
      <c r="DV61" s="22">
        <f t="shared" si="309"/>
        <v>0</v>
      </c>
      <c r="DW61" s="22">
        <f t="shared" ref="DW61:DW63" si="501">$G61*DU61</f>
        <v>0</v>
      </c>
      <c r="DX61" s="22"/>
      <c r="DY61" s="22">
        <f t="shared" si="311"/>
        <v>0</v>
      </c>
      <c r="DZ61" s="22">
        <f t="shared" ref="DZ61:DZ63" si="502">$G61*DX61</f>
        <v>0</v>
      </c>
      <c r="EA61" s="22"/>
      <c r="EB61" s="22">
        <f t="shared" si="313"/>
        <v>0</v>
      </c>
      <c r="EC61" s="22">
        <f t="shared" ref="EC61:EC63" si="503">$G61*EA61</f>
        <v>0</v>
      </c>
      <c r="ED61" s="22"/>
      <c r="EE61" s="22">
        <f t="shared" si="315"/>
        <v>0</v>
      </c>
      <c r="EF61" s="22">
        <f t="shared" ref="EF61:EF63" si="504">$G61*ED61</f>
        <v>0</v>
      </c>
      <c r="EG61" s="22"/>
      <c r="EH61" s="22">
        <f t="shared" si="317"/>
        <v>0</v>
      </c>
      <c r="EI61" s="22">
        <f t="shared" ref="EI61:EI63" si="505">$G61*EG61</f>
        <v>0</v>
      </c>
      <c r="EJ61" s="22"/>
      <c r="EK61" s="22">
        <f t="shared" si="319"/>
        <v>0</v>
      </c>
      <c r="EL61" s="22">
        <f t="shared" ref="EL61:EL63" si="506">$G61*EJ61</f>
        <v>0</v>
      </c>
      <c r="EM61" s="22"/>
      <c r="EN61" s="22">
        <f t="shared" si="321"/>
        <v>0</v>
      </c>
      <c r="EO61" s="22">
        <f t="shared" ref="EO61:EO63" si="507">$G61*EM61</f>
        <v>0</v>
      </c>
    </row>
    <row r="62" spans="1:145">
      <c r="A62" s="15">
        <v>71</v>
      </c>
      <c r="B62" s="15" t="s">
        <v>565</v>
      </c>
      <c r="C62" s="16" t="s">
        <v>414</v>
      </c>
      <c r="D62" s="15" t="s">
        <v>566</v>
      </c>
      <c r="E62" s="15" t="s">
        <v>416</v>
      </c>
      <c r="F62" s="19">
        <f t="shared" si="415"/>
        <v>1</v>
      </c>
      <c r="G62" s="20"/>
      <c r="H62" s="21"/>
      <c r="I62" s="22">
        <f t="shared" si="231"/>
        <v>0</v>
      </c>
      <c r="J62" s="22">
        <f t="shared" si="462"/>
        <v>0</v>
      </c>
      <c r="K62" s="22"/>
      <c r="L62" s="22">
        <f t="shared" si="233"/>
        <v>0</v>
      </c>
      <c r="M62" s="22">
        <f t="shared" si="463"/>
        <v>0</v>
      </c>
      <c r="N62" s="22"/>
      <c r="O62" s="22">
        <f t="shared" si="235"/>
        <v>0</v>
      </c>
      <c r="P62" s="22">
        <f t="shared" si="464"/>
        <v>0</v>
      </c>
      <c r="Q62" s="22"/>
      <c r="R62" s="22">
        <f t="shared" si="237"/>
        <v>0</v>
      </c>
      <c r="S62" s="22">
        <f t="shared" si="465"/>
        <v>0</v>
      </c>
      <c r="T62" s="22"/>
      <c r="U62" s="22">
        <f t="shared" si="239"/>
        <v>0</v>
      </c>
      <c r="V62" s="22">
        <f t="shared" si="466"/>
        <v>0</v>
      </c>
      <c r="W62" s="22"/>
      <c r="X62" s="22">
        <f t="shared" si="241"/>
        <v>0</v>
      </c>
      <c r="Y62" s="22">
        <f t="shared" si="467"/>
        <v>0</v>
      </c>
      <c r="Z62" s="22"/>
      <c r="AA62" s="22">
        <f t="shared" si="243"/>
        <v>0</v>
      </c>
      <c r="AB62" s="22">
        <f t="shared" si="468"/>
        <v>0</v>
      </c>
      <c r="AC62" s="22"/>
      <c r="AD62" s="22">
        <f t="shared" si="245"/>
        <v>0</v>
      </c>
      <c r="AE62" s="22">
        <f t="shared" si="469"/>
        <v>0</v>
      </c>
      <c r="AF62" s="22"/>
      <c r="AG62" s="22">
        <f t="shared" si="247"/>
        <v>0</v>
      </c>
      <c r="AH62" s="22">
        <f t="shared" si="470"/>
        <v>0</v>
      </c>
      <c r="AI62" s="22"/>
      <c r="AJ62" s="22">
        <f t="shared" si="249"/>
        <v>0</v>
      </c>
      <c r="AK62" s="22">
        <f t="shared" si="471"/>
        <v>0</v>
      </c>
      <c r="AL62" s="22"/>
      <c r="AM62" s="22">
        <f t="shared" si="251"/>
        <v>0</v>
      </c>
      <c r="AN62" s="22">
        <f t="shared" si="472"/>
        <v>0</v>
      </c>
      <c r="AO62" s="22"/>
      <c r="AP62" s="22">
        <f t="shared" si="253"/>
        <v>0</v>
      </c>
      <c r="AQ62" s="22">
        <f t="shared" si="473"/>
        <v>0</v>
      </c>
      <c r="AR62" s="22"/>
      <c r="AS62" s="22">
        <f t="shared" si="255"/>
        <v>0</v>
      </c>
      <c r="AT62" s="22">
        <f t="shared" si="474"/>
        <v>0</v>
      </c>
      <c r="AU62" s="22"/>
      <c r="AV62" s="22">
        <f t="shared" si="257"/>
        <v>0</v>
      </c>
      <c r="AW62" s="22">
        <f t="shared" si="475"/>
        <v>0</v>
      </c>
      <c r="AX62" s="22"/>
      <c r="AY62" s="22">
        <f t="shared" si="259"/>
        <v>0</v>
      </c>
      <c r="AZ62" s="22">
        <f t="shared" si="476"/>
        <v>0</v>
      </c>
      <c r="BA62" s="22">
        <v>1</v>
      </c>
      <c r="BB62" s="22">
        <f t="shared" si="261"/>
        <v>1</v>
      </c>
      <c r="BC62" s="22">
        <f t="shared" si="477"/>
        <v>0</v>
      </c>
      <c r="BD62" s="22"/>
      <c r="BE62" s="22">
        <f t="shared" si="263"/>
        <v>0</v>
      </c>
      <c r="BF62" s="22">
        <f t="shared" si="478"/>
        <v>0</v>
      </c>
      <c r="BG62" s="22"/>
      <c r="BH62" s="22">
        <f t="shared" si="265"/>
        <v>0</v>
      </c>
      <c r="BI62" s="22">
        <f t="shared" si="479"/>
        <v>0</v>
      </c>
      <c r="BJ62" s="22"/>
      <c r="BK62" s="22">
        <f t="shared" si="267"/>
        <v>0</v>
      </c>
      <c r="BL62" s="22">
        <f t="shared" si="480"/>
        <v>0</v>
      </c>
      <c r="BM62" s="22"/>
      <c r="BN62" s="22">
        <f t="shared" si="269"/>
        <v>0</v>
      </c>
      <c r="BO62" s="22">
        <f t="shared" si="481"/>
        <v>0</v>
      </c>
      <c r="BP62" s="22"/>
      <c r="BQ62" s="22">
        <f t="shared" si="271"/>
        <v>0</v>
      </c>
      <c r="BR62" s="22">
        <f t="shared" si="482"/>
        <v>0</v>
      </c>
      <c r="BS62" s="22"/>
      <c r="BT62" s="22">
        <f t="shared" si="273"/>
        <v>0</v>
      </c>
      <c r="BU62" s="22">
        <f t="shared" si="483"/>
        <v>0</v>
      </c>
      <c r="BV62" s="22"/>
      <c r="BW62" s="22">
        <f t="shared" si="275"/>
        <v>0</v>
      </c>
      <c r="BX62" s="22">
        <f t="shared" si="484"/>
        <v>0</v>
      </c>
      <c r="BY62" s="22"/>
      <c r="BZ62" s="22">
        <f t="shared" si="277"/>
        <v>0</v>
      </c>
      <c r="CA62" s="22">
        <f t="shared" si="485"/>
        <v>0</v>
      </c>
      <c r="CB62" s="22"/>
      <c r="CC62" s="22">
        <f t="shared" si="279"/>
        <v>0</v>
      </c>
      <c r="CD62" s="22">
        <f t="shared" si="486"/>
        <v>0</v>
      </c>
      <c r="CE62" s="22"/>
      <c r="CF62" s="22">
        <f t="shared" si="281"/>
        <v>0</v>
      </c>
      <c r="CG62" s="22">
        <f t="shared" si="487"/>
        <v>0</v>
      </c>
      <c r="CH62" s="22"/>
      <c r="CI62" s="22">
        <f t="shared" si="283"/>
        <v>0</v>
      </c>
      <c r="CJ62" s="22">
        <f t="shared" si="488"/>
        <v>0</v>
      </c>
      <c r="CK62" s="22"/>
      <c r="CL62" s="22">
        <f t="shared" si="285"/>
        <v>0</v>
      </c>
      <c r="CM62" s="22">
        <f t="shared" si="489"/>
        <v>0</v>
      </c>
      <c r="CN62" s="22"/>
      <c r="CO62" s="22">
        <f t="shared" si="287"/>
        <v>0</v>
      </c>
      <c r="CP62" s="22">
        <f t="shared" si="490"/>
        <v>0</v>
      </c>
      <c r="CQ62" s="22"/>
      <c r="CR62" s="22">
        <f t="shared" si="289"/>
        <v>0</v>
      </c>
      <c r="CS62" s="22">
        <f t="shared" si="491"/>
        <v>0</v>
      </c>
      <c r="CT62" s="22"/>
      <c r="CU62" s="22">
        <f t="shared" si="291"/>
        <v>0</v>
      </c>
      <c r="CV62" s="22">
        <f t="shared" si="492"/>
        <v>0</v>
      </c>
      <c r="CW62" s="22"/>
      <c r="CX62" s="22">
        <f t="shared" si="293"/>
        <v>0</v>
      </c>
      <c r="CY62" s="22">
        <f t="shared" si="493"/>
        <v>0</v>
      </c>
      <c r="CZ62" s="22"/>
      <c r="DA62" s="22">
        <f t="shared" si="295"/>
        <v>0</v>
      </c>
      <c r="DB62" s="22">
        <f t="shared" si="494"/>
        <v>0</v>
      </c>
      <c r="DC62" s="22"/>
      <c r="DD62" s="22">
        <f t="shared" si="297"/>
        <v>0</v>
      </c>
      <c r="DE62" s="22">
        <f t="shared" si="495"/>
        <v>0</v>
      </c>
      <c r="DF62" s="22"/>
      <c r="DG62" s="22">
        <f t="shared" si="299"/>
        <v>0</v>
      </c>
      <c r="DH62" s="22">
        <f t="shared" si="496"/>
        <v>0</v>
      </c>
      <c r="DI62" s="22"/>
      <c r="DJ62" s="22">
        <f t="shared" si="301"/>
        <v>0</v>
      </c>
      <c r="DK62" s="22">
        <f t="shared" si="497"/>
        <v>0</v>
      </c>
      <c r="DL62" s="22"/>
      <c r="DM62" s="22">
        <f t="shared" si="303"/>
        <v>0</v>
      </c>
      <c r="DN62" s="22">
        <f t="shared" si="498"/>
        <v>0</v>
      </c>
      <c r="DO62" s="22"/>
      <c r="DP62" s="22">
        <f t="shared" si="305"/>
        <v>0</v>
      </c>
      <c r="DQ62" s="22">
        <f t="shared" si="499"/>
        <v>0</v>
      </c>
      <c r="DR62" s="22"/>
      <c r="DS62" s="22">
        <f t="shared" si="307"/>
        <v>0</v>
      </c>
      <c r="DT62" s="22">
        <f t="shared" si="500"/>
        <v>0</v>
      </c>
      <c r="DU62" s="22"/>
      <c r="DV62" s="22">
        <f t="shared" si="309"/>
        <v>0</v>
      </c>
      <c r="DW62" s="22">
        <f t="shared" si="501"/>
        <v>0</v>
      </c>
      <c r="DX62" s="22"/>
      <c r="DY62" s="22">
        <f t="shared" si="311"/>
        <v>0</v>
      </c>
      <c r="DZ62" s="22">
        <f t="shared" si="502"/>
        <v>0</v>
      </c>
      <c r="EA62" s="22"/>
      <c r="EB62" s="22">
        <f t="shared" si="313"/>
        <v>0</v>
      </c>
      <c r="EC62" s="22">
        <f t="shared" si="503"/>
        <v>0</v>
      </c>
      <c r="ED62" s="22"/>
      <c r="EE62" s="22">
        <f t="shared" si="315"/>
        <v>0</v>
      </c>
      <c r="EF62" s="22">
        <f t="shared" si="504"/>
        <v>0</v>
      </c>
      <c r="EG62" s="22"/>
      <c r="EH62" s="22">
        <f t="shared" si="317"/>
        <v>0</v>
      </c>
      <c r="EI62" s="22">
        <f t="shared" si="505"/>
        <v>0</v>
      </c>
      <c r="EJ62" s="22"/>
      <c r="EK62" s="22">
        <f t="shared" si="319"/>
        <v>0</v>
      </c>
      <c r="EL62" s="22">
        <f t="shared" si="506"/>
        <v>0</v>
      </c>
      <c r="EM62" s="22"/>
      <c r="EN62" s="22">
        <f t="shared" si="321"/>
        <v>0</v>
      </c>
      <c r="EO62" s="22">
        <f t="shared" si="507"/>
        <v>0</v>
      </c>
    </row>
    <row r="63" spans="1:145">
      <c r="A63" s="15">
        <v>72</v>
      </c>
      <c r="B63" s="15" t="s">
        <v>567</v>
      </c>
      <c r="C63" s="16" t="s">
        <v>388</v>
      </c>
      <c r="D63" s="15" t="s">
        <v>568</v>
      </c>
      <c r="E63" s="15" t="s">
        <v>380</v>
      </c>
      <c r="F63" s="19">
        <f t="shared" si="415"/>
        <v>1</v>
      </c>
      <c r="G63" s="20"/>
      <c r="H63" s="21"/>
      <c r="I63" s="22">
        <f t="shared" si="231"/>
        <v>0</v>
      </c>
      <c r="J63" s="22">
        <f t="shared" si="462"/>
        <v>0</v>
      </c>
      <c r="K63" s="22"/>
      <c r="L63" s="22">
        <f t="shared" si="233"/>
        <v>0</v>
      </c>
      <c r="M63" s="22">
        <f t="shared" si="463"/>
        <v>0</v>
      </c>
      <c r="N63" s="22"/>
      <c r="O63" s="22">
        <f t="shared" si="235"/>
        <v>0</v>
      </c>
      <c r="P63" s="22">
        <f t="shared" si="464"/>
        <v>0</v>
      </c>
      <c r="Q63" s="22"/>
      <c r="R63" s="22">
        <f t="shared" si="237"/>
        <v>0</v>
      </c>
      <c r="S63" s="22">
        <f t="shared" si="465"/>
        <v>0</v>
      </c>
      <c r="T63" s="22"/>
      <c r="U63" s="22">
        <f t="shared" si="239"/>
        <v>0</v>
      </c>
      <c r="V63" s="22">
        <f t="shared" si="466"/>
        <v>0</v>
      </c>
      <c r="W63" s="22"/>
      <c r="X63" s="22">
        <f t="shared" si="241"/>
        <v>0</v>
      </c>
      <c r="Y63" s="22">
        <f t="shared" si="467"/>
        <v>0</v>
      </c>
      <c r="Z63" s="22"/>
      <c r="AA63" s="22">
        <f t="shared" si="243"/>
        <v>0</v>
      </c>
      <c r="AB63" s="22">
        <f t="shared" si="468"/>
        <v>0</v>
      </c>
      <c r="AC63" s="22"/>
      <c r="AD63" s="22">
        <f t="shared" si="245"/>
        <v>0</v>
      </c>
      <c r="AE63" s="22">
        <f t="shared" si="469"/>
        <v>0</v>
      </c>
      <c r="AF63" s="22"/>
      <c r="AG63" s="22">
        <f t="shared" si="247"/>
        <v>0</v>
      </c>
      <c r="AH63" s="22">
        <f t="shared" si="470"/>
        <v>0</v>
      </c>
      <c r="AI63" s="22"/>
      <c r="AJ63" s="22">
        <f t="shared" si="249"/>
        <v>0</v>
      </c>
      <c r="AK63" s="22">
        <f t="shared" si="471"/>
        <v>0</v>
      </c>
      <c r="AL63" s="22"/>
      <c r="AM63" s="22">
        <f t="shared" si="251"/>
        <v>0</v>
      </c>
      <c r="AN63" s="22">
        <f t="shared" si="472"/>
        <v>0</v>
      </c>
      <c r="AO63" s="22"/>
      <c r="AP63" s="22">
        <f t="shared" si="253"/>
        <v>0</v>
      </c>
      <c r="AQ63" s="22">
        <f t="shared" si="473"/>
        <v>0</v>
      </c>
      <c r="AR63" s="22"/>
      <c r="AS63" s="22">
        <f t="shared" si="255"/>
        <v>0</v>
      </c>
      <c r="AT63" s="22">
        <f t="shared" si="474"/>
        <v>0</v>
      </c>
      <c r="AU63" s="22"/>
      <c r="AV63" s="22">
        <f t="shared" si="257"/>
        <v>0</v>
      </c>
      <c r="AW63" s="22">
        <f t="shared" si="475"/>
        <v>0</v>
      </c>
      <c r="AX63" s="22"/>
      <c r="AY63" s="22">
        <f t="shared" si="259"/>
        <v>0</v>
      </c>
      <c r="AZ63" s="22">
        <f t="shared" si="476"/>
        <v>0</v>
      </c>
      <c r="BA63" s="22">
        <v>1</v>
      </c>
      <c r="BB63" s="22">
        <f t="shared" si="261"/>
        <v>1</v>
      </c>
      <c r="BC63" s="22">
        <f t="shared" si="477"/>
        <v>0</v>
      </c>
      <c r="BD63" s="22"/>
      <c r="BE63" s="22">
        <f t="shared" si="263"/>
        <v>0</v>
      </c>
      <c r="BF63" s="22">
        <f t="shared" si="478"/>
        <v>0</v>
      </c>
      <c r="BG63" s="22"/>
      <c r="BH63" s="22">
        <f t="shared" si="265"/>
        <v>0</v>
      </c>
      <c r="BI63" s="22">
        <f t="shared" si="479"/>
        <v>0</v>
      </c>
      <c r="BJ63" s="22"/>
      <c r="BK63" s="22">
        <f t="shared" si="267"/>
        <v>0</v>
      </c>
      <c r="BL63" s="22">
        <f t="shared" si="480"/>
        <v>0</v>
      </c>
      <c r="BM63" s="22"/>
      <c r="BN63" s="22">
        <f t="shared" si="269"/>
        <v>0</v>
      </c>
      <c r="BO63" s="22">
        <f t="shared" si="481"/>
        <v>0</v>
      </c>
      <c r="BP63" s="22"/>
      <c r="BQ63" s="22">
        <f t="shared" si="271"/>
        <v>0</v>
      </c>
      <c r="BR63" s="22">
        <f t="shared" si="482"/>
        <v>0</v>
      </c>
      <c r="BS63" s="22"/>
      <c r="BT63" s="22">
        <f t="shared" si="273"/>
        <v>0</v>
      </c>
      <c r="BU63" s="22">
        <f t="shared" si="483"/>
        <v>0</v>
      </c>
      <c r="BV63" s="22"/>
      <c r="BW63" s="22">
        <f t="shared" si="275"/>
        <v>0</v>
      </c>
      <c r="BX63" s="22">
        <f t="shared" si="484"/>
        <v>0</v>
      </c>
      <c r="BY63" s="22"/>
      <c r="BZ63" s="22">
        <f t="shared" si="277"/>
        <v>0</v>
      </c>
      <c r="CA63" s="22">
        <f t="shared" si="485"/>
        <v>0</v>
      </c>
      <c r="CB63" s="22"/>
      <c r="CC63" s="22">
        <f t="shared" si="279"/>
        <v>0</v>
      </c>
      <c r="CD63" s="22">
        <f t="shared" si="486"/>
        <v>0</v>
      </c>
      <c r="CE63" s="22"/>
      <c r="CF63" s="22">
        <f t="shared" si="281"/>
        <v>0</v>
      </c>
      <c r="CG63" s="22">
        <f t="shared" si="487"/>
        <v>0</v>
      </c>
      <c r="CH63" s="22"/>
      <c r="CI63" s="22">
        <f t="shared" si="283"/>
        <v>0</v>
      </c>
      <c r="CJ63" s="22">
        <f t="shared" si="488"/>
        <v>0</v>
      </c>
      <c r="CK63" s="22"/>
      <c r="CL63" s="22">
        <f t="shared" si="285"/>
        <v>0</v>
      </c>
      <c r="CM63" s="22">
        <f t="shared" si="489"/>
        <v>0</v>
      </c>
      <c r="CN63" s="22"/>
      <c r="CO63" s="22">
        <f t="shared" si="287"/>
        <v>0</v>
      </c>
      <c r="CP63" s="22">
        <f t="shared" si="490"/>
        <v>0</v>
      </c>
      <c r="CQ63" s="22"/>
      <c r="CR63" s="22">
        <f t="shared" si="289"/>
        <v>0</v>
      </c>
      <c r="CS63" s="22">
        <f t="shared" si="491"/>
        <v>0</v>
      </c>
      <c r="CT63" s="22"/>
      <c r="CU63" s="22">
        <f t="shared" si="291"/>
        <v>0</v>
      </c>
      <c r="CV63" s="22">
        <f t="shared" si="492"/>
        <v>0</v>
      </c>
      <c r="CW63" s="22"/>
      <c r="CX63" s="22">
        <f t="shared" si="293"/>
        <v>0</v>
      </c>
      <c r="CY63" s="22">
        <f t="shared" si="493"/>
        <v>0</v>
      </c>
      <c r="CZ63" s="22"/>
      <c r="DA63" s="22">
        <f t="shared" si="295"/>
        <v>0</v>
      </c>
      <c r="DB63" s="22">
        <f t="shared" si="494"/>
        <v>0</v>
      </c>
      <c r="DC63" s="22"/>
      <c r="DD63" s="22">
        <f t="shared" si="297"/>
        <v>0</v>
      </c>
      <c r="DE63" s="22">
        <f t="shared" si="495"/>
        <v>0</v>
      </c>
      <c r="DF63" s="22"/>
      <c r="DG63" s="22">
        <f t="shared" si="299"/>
        <v>0</v>
      </c>
      <c r="DH63" s="22">
        <f t="shared" si="496"/>
        <v>0</v>
      </c>
      <c r="DI63" s="22"/>
      <c r="DJ63" s="22">
        <f t="shared" si="301"/>
        <v>0</v>
      </c>
      <c r="DK63" s="22">
        <f t="shared" si="497"/>
        <v>0</v>
      </c>
      <c r="DL63" s="22"/>
      <c r="DM63" s="22">
        <f t="shared" si="303"/>
        <v>0</v>
      </c>
      <c r="DN63" s="22">
        <f t="shared" si="498"/>
        <v>0</v>
      </c>
      <c r="DO63" s="22"/>
      <c r="DP63" s="22">
        <f t="shared" si="305"/>
        <v>0</v>
      </c>
      <c r="DQ63" s="22">
        <f t="shared" si="499"/>
        <v>0</v>
      </c>
      <c r="DR63" s="22"/>
      <c r="DS63" s="22">
        <f t="shared" si="307"/>
        <v>0</v>
      </c>
      <c r="DT63" s="22">
        <f t="shared" si="500"/>
        <v>0</v>
      </c>
      <c r="DU63" s="22"/>
      <c r="DV63" s="22">
        <f t="shared" si="309"/>
        <v>0</v>
      </c>
      <c r="DW63" s="22">
        <f t="shared" si="501"/>
        <v>0</v>
      </c>
      <c r="DX63" s="22"/>
      <c r="DY63" s="22">
        <f t="shared" si="311"/>
        <v>0</v>
      </c>
      <c r="DZ63" s="22">
        <f t="shared" si="502"/>
        <v>0</v>
      </c>
      <c r="EA63" s="22"/>
      <c r="EB63" s="22">
        <f t="shared" si="313"/>
        <v>0</v>
      </c>
      <c r="EC63" s="22">
        <f t="shared" si="503"/>
        <v>0</v>
      </c>
      <c r="ED63" s="22"/>
      <c r="EE63" s="22">
        <f t="shared" si="315"/>
        <v>0</v>
      </c>
      <c r="EF63" s="22">
        <f t="shared" si="504"/>
        <v>0</v>
      </c>
      <c r="EG63" s="22"/>
      <c r="EH63" s="22">
        <f t="shared" si="317"/>
        <v>0</v>
      </c>
      <c r="EI63" s="22">
        <f t="shared" si="505"/>
        <v>0</v>
      </c>
      <c r="EJ63" s="22"/>
      <c r="EK63" s="22">
        <f t="shared" si="319"/>
        <v>0</v>
      </c>
      <c r="EL63" s="22">
        <f t="shared" si="506"/>
        <v>0</v>
      </c>
      <c r="EM63" s="22"/>
      <c r="EN63" s="22">
        <f t="shared" si="321"/>
        <v>0</v>
      </c>
      <c r="EO63" s="22">
        <f t="shared" si="507"/>
        <v>0</v>
      </c>
    </row>
    <row r="64" spans="1:145">
      <c r="A64" s="15">
        <v>73</v>
      </c>
      <c r="B64" s="15" t="s">
        <v>449</v>
      </c>
      <c r="C64" s="16" t="s">
        <v>382</v>
      </c>
      <c r="D64" s="50" t="s">
        <v>452</v>
      </c>
      <c r="E64" s="16" t="s">
        <v>451</v>
      </c>
      <c r="F64" s="19">
        <f t="shared" si="415"/>
        <v>3</v>
      </c>
      <c r="G64" s="20"/>
      <c r="H64" s="21"/>
      <c r="I64" s="22">
        <f t="shared" si="231"/>
        <v>0</v>
      </c>
      <c r="J64" s="22">
        <f>$G64*H64</f>
        <v>0</v>
      </c>
      <c r="K64" s="22"/>
      <c r="L64" s="22">
        <f t="shared" si="233"/>
        <v>0</v>
      </c>
      <c r="M64" s="22">
        <f>$G64*K64</f>
        <v>0</v>
      </c>
      <c r="N64" s="22"/>
      <c r="O64" s="22">
        <f t="shared" si="235"/>
        <v>0</v>
      </c>
      <c r="P64" s="22">
        <f>$G64*N64</f>
        <v>0</v>
      </c>
      <c r="Q64" s="22"/>
      <c r="R64" s="22">
        <f t="shared" si="237"/>
        <v>0</v>
      </c>
      <c r="S64" s="22">
        <f>$G64*Q64</f>
        <v>0</v>
      </c>
      <c r="T64" s="22"/>
      <c r="U64" s="22">
        <f t="shared" si="239"/>
        <v>0</v>
      </c>
      <c r="V64" s="22">
        <f>$G64*T64</f>
        <v>0</v>
      </c>
      <c r="W64" s="22"/>
      <c r="X64" s="22">
        <f t="shared" si="241"/>
        <v>0</v>
      </c>
      <c r="Y64" s="22">
        <f>$G64*W64</f>
        <v>0</v>
      </c>
      <c r="Z64" s="22"/>
      <c r="AA64" s="22">
        <f t="shared" si="243"/>
        <v>0</v>
      </c>
      <c r="AB64" s="22">
        <f>$G64*Z64</f>
        <v>0</v>
      </c>
      <c r="AC64" s="22"/>
      <c r="AD64" s="22">
        <f t="shared" si="245"/>
        <v>0</v>
      </c>
      <c r="AE64" s="22">
        <f>$G64*AC64</f>
        <v>0</v>
      </c>
      <c r="AF64" s="22"/>
      <c r="AG64" s="22">
        <f t="shared" si="247"/>
        <v>0</v>
      </c>
      <c r="AH64" s="22">
        <f>$G64*AF64</f>
        <v>0</v>
      </c>
      <c r="AI64" s="22"/>
      <c r="AJ64" s="22">
        <f t="shared" si="249"/>
        <v>0</v>
      </c>
      <c r="AK64" s="22">
        <f>$G64*AI64</f>
        <v>0</v>
      </c>
      <c r="AL64" s="22"/>
      <c r="AM64" s="22">
        <f t="shared" si="251"/>
        <v>0</v>
      </c>
      <c r="AN64" s="22">
        <f>$G64*AL64</f>
        <v>0</v>
      </c>
      <c r="AO64" s="22"/>
      <c r="AP64" s="22">
        <f t="shared" si="253"/>
        <v>0</v>
      </c>
      <c r="AQ64" s="22">
        <f>$G64*AO64</f>
        <v>0</v>
      </c>
      <c r="AR64" s="22"/>
      <c r="AS64" s="22">
        <f t="shared" si="255"/>
        <v>0</v>
      </c>
      <c r="AT64" s="22">
        <f>$G64*AR64</f>
        <v>0</v>
      </c>
      <c r="AU64" s="22"/>
      <c r="AV64" s="22">
        <f t="shared" si="257"/>
        <v>0</v>
      </c>
      <c r="AW64" s="22">
        <f>$G64*AU64</f>
        <v>0</v>
      </c>
      <c r="AX64" s="22"/>
      <c r="AY64" s="22">
        <f t="shared" si="259"/>
        <v>0</v>
      </c>
      <c r="AZ64" s="22">
        <f>$G64*AX64</f>
        <v>0</v>
      </c>
      <c r="BA64" s="22">
        <v>1</v>
      </c>
      <c r="BB64" s="22">
        <f t="shared" si="261"/>
        <v>1</v>
      </c>
      <c r="BC64" s="22">
        <f>$G64*BA64</f>
        <v>0</v>
      </c>
      <c r="BD64" s="22"/>
      <c r="BE64" s="22">
        <f t="shared" si="263"/>
        <v>0</v>
      </c>
      <c r="BF64" s="22">
        <f>$G64*BD64</f>
        <v>0</v>
      </c>
      <c r="BG64" s="22"/>
      <c r="BH64" s="22">
        <f t="shared" si="265"/>
        <v>0</v>
      </c>
      <c r="BI64" s="22">
        <f>$G64*BG64</f>
        <v>0</v>
      </c>
      <c r="BJ64" s="22"/>
      <c r="BK64" s="22">
        <f t="shared" si="267"/>
        <v>0</v>
      </c>
      <c r="BL64" s="22">
        <f>$G64*BJ64</f>
        <v>0</v>
      </c>
      <c r="BM64" s="22"/>
      <c r="BN64" s="22">
        <f t="shared" si="269"/>
        <v>0</v>
      </c>
      <c r="BO64" s="22">
        <f>$G64*BM64</f>
        <v>0</v>
      </c>
      <c r="BP64" s="22"/>
      <c r="BQ64" s="22">
        <f t="shared" si="271"/>
        <v>0</v>
      </c>
      <c r="BR64" s="22">
        <f>$G64*BP64</f>
        <v>0</v>
      </c>
      <c r="BS64" s="22"/>
      <c r="BT64" s="22">
        <f t="shared" si="273"/>
        <v>0</v>
      </c>
      <c r="BU64" s="22">
        <f>$G64*BS64</f>
        <v>0</v>
      </c>
      <c r="BV64" s="22"/>
      <c r="BW64" s="22">
        <f t="shared" si="275"/>
        <v>0</v>
      </c>
      <c r="BX64" s="22">
        <f>$G64*BV64</f>
        <v>0</v>
      </c>
      <c r="BY64" s="22"/>
      <c r="BZ64" s="22">
        <f t="shared" si="277"/>
        <v>0</v>
      </c>
      <c r="CA64" s="22">
        <f>$G64*BY64</f>
        <v>0</v>
      </c>
      <c r="CB64" s="22"/>
      <c r="CC64" s="22">
        <f t="shared" si="279"/>
        <v>0</v>
      </c>
      <c r="CD64" s="22">
        <f>$G64*CB64</f>
        <v>0</v>
      </c>
      <c r="CE64" s="22"/>
      <c r="CF64" s="22">
        <f t="shared" si="281"/>
        <v>0</v>
      </c>
      <c r="CG64" s="22">
        <f>$G64*CE64</f>
        <v>0</v>
      </c>
      <c r="CH64" s="22"/>
      <c r="CI64" s="22">
        <f t="shared" si="283"/>
        <v>0</v>
      </c>
      <c r="CJ64" s="22">
        <f>$G64*CH64</f>
        <v>0</v>
      </c>
      <c r="CK64" s="22"/>
      <c r="CL64" s="22">
        <f t="shared" si="285"/>
        <v>0</v>
      </c>
      <c r="CM64" s="22">
        <f>$G64*CK64</f>
        <v>0</v>
      </c>
      <c r="CN64" s="22"/>
      <c r="CO64" s="22">
        <f t="shared" si="287"/>
        <v>0</v>
      </c>
      <c r="CP64" s="22">
        <f>$G64*CN64</f>
        <v>0</v>
      </c>
      <c r="CQ64" s="22"/>
      <c r="CR64" s="22">
        <f t="shared" si="289"/>
        <v>0</v>
      </c>
      <c r="CS64" s="22">
        <f>$G64*CQ64</f>
        <v>0</v>
      </c>
      <c r="CT64" s="22"/>
      <c r="CU64" s="22">
        <f t="shared" si="291"/>
        <v>0</v>
      </c>
      <c r="CV64" s="22">
        <f>$G64*CT64</f>
        <v>0</v>
      </c>
      <c r="CW64" s="22"/>
      <c r="CX64" s="22">
        <f t="shared" si="293"/>
        <v>0</v>
      </c>
      <c r="CY64" s="22">
        <f>$G64*CW64</f>
        <v>0</v>
      </c>
      <c r="CZ64" s="22"/>
      <c r="DA64" s="22">
        <f t="shared" si="295"/>
        <v>0</v>
      </c>
      <c r="DB64" s="22">
        <f>$G64*CZ64</f>
        <v>0</v>
      </c>
      <c r="DC64" s="22"/>
      <c r="DD64" s="22">
        <f t="shared" si="297"/>
        <v>0</v>
      </c>
      <c r="DE64" s="22">
        <f>$G64*DC64</f>
        <v>0</v>
      </c>
      <c r="DF64" s="22"/>
      <c r="DG64" s="22">
        <f t="shared" si="299"/>
        <v>0</v>
      </c>
      <c r="DH64" s="22">
        <f>$G64*DF64</f>
        <v>0</v>
      </c>
      <c r="DI64" s="22"/>
      <c r="DJ64" s="22">
        <f t="shared" si="301"/>
        <v>0</v>
      </c>
      <c r="DK64" s="22">
        <f>$G64*DI64</f>
        <v>0</v>
      </c>
      <c r="DL64" s="22"/>
      <c r="DM64" s="22">
        <f t="shared" si="303"/>
        <v>0</v>
      </c>
      <c r="DN64" s="22">
        <f>$G64*DL64</f>
        <v>0</v>
      </c>
      <c r="DO64" s="22"/>
      <c r="DP64" s="22">
        <f t="shared" si="305"/>
        <v>0</v>
      </c>
      <c r="DQ64" s="22">
        <f>$G64*DO64</f>
        <v>0</v>
      </c>
      <c r="DR64" s="22">
        <v>1</v>
      </c>
      <c r="DS64" s="22">
        <f t="shared" si="307"/>
        <v>0</v>
      </c>
      <c r="DT64" s="22">
        <f>$G64*DR64</f>
        <v>0</v>
      </c>
      <c r="DU64" s="22"/>
      <c r="DV64" s="22">
        <f t="shared" si="309"/>
        <v>0</v>
      </c>
      <c r="DW64" s="22">
        <f>$G64*DU64</f>
        <v>0</v>
      </c>
      <c r="DX64" s="22"/>
      <c r="DY64" s="22">
        <f t="shared" si="311"/>
        <v>0</v>
      </c>
      <c r="DZ64" s="22">
        <f>$G64*DX64</f>
        <v>0</v>
      </c>
      <c r="EA64" s="22"/>
      <c r="EB64" s="22">
        <f t="shared" si="313"/>
        <v>0</v>
      </c>
      <c r="EC64" s="22">
        <f>$G64*EA64</f>
        <v>0</v>
      </c>
      <c r="ED64" s="22">
        <v>1</v>
      </c>
      <c r="EE64" s="22">
        <f t="shared" si="315"/>
        <v>2</v>
      </c>
      <c r="EF64" s="22">
        <f>$G64*ED64</f>
        <v>0</v>
      </c>
      <c r="EG64" s="22"/>
      <c r="EH64" s="22">
        <f t="shared" si="317"/>
        <v>0</v>
      </c>
      <c r="EI64" s="22">
        <f>$G64*EG64</f>
        <v>0</v>
      </c>
      <c r="EJ64" s="22"/>
      <c r="EK64" s="22">
        <f t="shared" si="319"/>
        <v>0</v>
      </c>
      <c r="EL64" s="22">
        <f>$G64*EJ64</f>
        <v>0</v>
      </c>
      <c r="EM64" s="22"/>
      <c r="EN64" s="22">
        <f t="shared" si="321"/>
        <v>0</v>
      </c>
      <c r="EO64" s="22">
        <f>$G64*EM64</f>
        <v>0</v>
      </c>
    </row>
    <row r="65" spans="1:145">
      <c r="A65" s="15">
        <v>74</v>
      </c>
      <c r="B65" s="15" t="s">
        <v>453</v>
      </c>
      <c r="C65" s="16" t="s">
        <v>382</v>
      </c>
      <c r="D65" s="16" t="s">
        <v>454</v>
      </c>
      <c r="E65" s="15" t="s">
        <v>429</v>
      </c>
      <c r="F65" s="19">
        <f t="shared" si="415"/>
        <v>3</v>
      </c>
      <c r="G65" s="20"/>
      <c r="H65" s="21"/>
      <c r="I65" s="22">
        <f t="shared" si="231"/>
        <v>0</v>
      </c>
      <c r="J65" s="22">
        <f t="shared" ref="J65:J68" si="508">$G65*H65</f>
        <v>0</v>
      </c>
      <c r="K65" s="22"/>
      <c r="L65" s="22">
        <f t="shared" si="233"/>
        <v>0</v>
      </c>
      <c r="M65" s="22">
        <f t="shared" ref="M65:M68" si="509">$G65*K65</f>
        <v>0</v>
      </c>
      <c r="N65" s="22"/>
      <c r="O65" s="22">
        <f t="shared" si="235"/>
        <v>0</v>
      </c>
      <c r="P65" s="22">
        <f t="shared" ref="P65:P68" si="510">$G65*N65</f>
        <v>0</v>
      </c>
      <c r="Q65" s="22"/>
      <c r="R65" s="22">
        <f t="shared" si="237"/>
        <v>0</v>
      </c>
      <c r="S65" s="22">
        <f t="shared" ref="S65:S68" si="511">$G65*Q65</f>
        <v>0</v>
      </c>
      <c r="T65" s="22"/>
      <c r="U65" s="22">
        <f t="shared" si="239"/>
        <v>0</v>
      </c>
      <c r="V65" s="22">
        <f t="shared" ref="V65:V68" si="512">$G65*T65</f>
        <v>0</v>
      </c>
      <c r="W65" s="22"/>
      <c r="X65" s="22">
        <f t="shared" si="241"/>
        <v>0</v>
      </c>
      <c r="Y65" s="22">
        <f t="shared" ref="Y65:Y68" si="513">$G65*W65</f>
        <v>0</v>
      </c>
      <c r="Z65" s="22"/>
      <c r="AA65" s="22">
        <f t="shared" si="243"/>
        <v>0</v>
      </c>
      <c r="AB65" s="22">
        <f t="shared" ref="AB65:AB68" si="514">$G65*Z65</f>
        <v>0</v>
      </c>
      <c r="AC65" s="22"/>
      <c r="AD65" s="22">
        <f t="shared" si="245"/>
        <v>0</v>
      </c>
      <c r="AE65" s="22">
        <f t="shared" ref="AE65:AE68" si="515">$G65*AC65</f>
        <v>0</v>
      </c>
      <c r="AF65" s="22"/>
      <c r="AG65" s="22">
        <f t="shared" si="247"/>
        <v>0</v>
      </c>
      <c r="AH65" s="22">
        <f t="shared" ref="AH65:AH68" si="516">$G65*AF65</f>
        <v>0</v>
      </c>
      <c r="AI65" s="22"/>
      <c r="AJ65" s="22">
        <f t="shared" si="249"/>
        <v>0</v>
      </c>
      <c r="AK65" s="22">
        <f t="shared" ref="AK65:AK68" si="517">$G65*AI65</f>
        <v>0</v>
      </c>
      <c r="AL65" s="22"/>
      <c r="AM65" s="22">
        <f t="shared" si="251"/>
        <v>0</v>
      </c>
      <c r="AN65" s="22">
        <f t="shared" ref="AN65:AN68" si="518">$G65*AL65</f>
        <v>0</v>
      </c>
      <c r="AO65" s="22"/>
      <c r="AP65" s="22">
        <f t="shared" si="253"/>
        <v>0</v>
      </c>
      <c r="AQ65" s="22">
        <f t="shared" ref="AQ65:AQ68" si="519">$G65*AO65</f>
        <v>0</v>
      </c>
      <c r="AR65" s="22"/>
      <c r="AS65" s="22">
        <f t="shared" si="255"/>
        <v>0</v>
      </c>
      <c r="AT65" s="22">
        <f t="shared" ref="AT65:AT68" si="520">$G65*AR65</f>
        <v>0</v>
      </c>
      <c r="AU65" s="22"/>
      <c r="AV65" s="22">
        <f t="shared" si="257"/>
        <v>0</v>
      </c>
      <c r="AW65" s="22">
        <f t="shared" ref="AW65:AW68" si="521">$G65*AU65</f>
        <v>0</v>
      </c>
      <c r="AX65" s="22"/>
      <c r="AY65" s="22">
        <f t="shared" si="259"/>
        <v>0</v>
      </c>
      <c r="AZ65" s="22">
        <f t="shared" ref="AZ65:AZ68" si="522">$G65*AX65</f>
        <v>0</v>
      </c>
      <c r="BA65" s="22">
        <v>1</v>
      </c>
      <c r="BB65" s="22">
        <f t="shared" si="261"/>
        <v>1</v>
      </c>
      <c r="BC65" s="22">
        <f t="shared" ref="BC65:BC68" si="523">$G65*BA65</f>
        <v>0</v>
      </c>
      <c r="BD65" s="22"/>
      <c r="BE65" s="22">
        <f t="shared" si="263"/>
        <v>0</v>
      </c>
      <c r="BF65" s="22">
        <f t="shared" ref="BF65:BF68" si="524">$G65*BD65</f>
        <v>0</v>
      </c>
      <c r="BG65" s="22"/>
      <c r="BH65" s="22">
        <f t="shared" si="265"/>
        <v>0</v>
      </c>
      <c r="BI65" s="22">
        <f t="shared" ref="BI65:BI68" si="525">$G65*BG65</f>
        <v>0</v>
      </c>
      <c r="BJ65" s="22"/>
      <c r="BK65" s="22">
        <f t="shared" si="267"/>
        <v>0</v>
      </c>
      <c r="BL65" s="22">
        <f t="shared" ref="BL65:BL68" si="526">$G65*BJ65</f>
        <v>0</v>
      </c>
      <c r="BM65" s="22"/>
      <c r="BN65" s="22">
        <f t="shared" si="269"/>
        <v>0</v>
      </c>
      <c r="BO65" s="22">
        <f t="shared" ref="BO65:BO68" si="527">$G65*BM65</f>
        <v>0</v>
      </c>
      <c r="BP65" s="22"/>
      <c r="BQ65" s="22">
        <f t="shared" si="271"/>
        <v>0</v>
      </c>
      <c r="BR65" s="22">
        <f t="shared" ref="BR65:BR68" si="528">$G65*BP65</f>
        <v>0</v>
      </c>
      <c r="BS65" s="22"/>
      <c r="BT65" s="22">
        <f t="shared" si="273"/>
        <v>0</v>
      </c>
      <c r="BU65" s="22">
        <f t="shared" ref="BU65:BU68" si="529">$G65*BS65</f>
        <v>0</v>
      </c>
      <c r="BV65" s="22"/>
      <c r="BW65" s="22">
        <f t="shared" si="275"/>
        <v>0</v>
      </c>
      <c r="BX65" s="22">
        <f t="shared" ref="BX65:BX68" si="530">$G65*BV65</f>
        <v>0</v>
      </c>
      <c r="BY65" s="22"/>
      <c r="BZ65" s="22">
        <f t="shared" si="277"/>
        <v>0</v>
      </c>
      <c r="CA65" s="22">
        <f t="shared" ref="CA65:CA68" si="531">$G65*BY65</f>
        <v>0</v>
      </c>
      <c r="CB65" s="22"/>
      <c r="CC65" s="22">
        <f t="shared" si="279"/>
        <v>0</v>
      </c>
      <c r="CD65" s="22">
        <f t="shared" ref="CD65:CD68" si="532">$G65*CB65</f>
        <v>0</v>
      </c>
      <c r="CE65" s="22"/>
      <c r="CF65" s="22">
        <f t="shared" si="281"/>
        <v>0</v>
      </c>
      <c r="CG65" s="22">
        <f t="shared" ref="CG65:CG68" si="533">$G65*CE65</f>
        <v>0</v>
      </c>
      <c r="CH65" s="22"/>
      <c r="CI65" s="22">
        <f t="shared" si="283"/>
        <v>0</v>
      </c>
      <c r="CJ65" s="22">
        <f t="shared" ref="CJ65:CJ68" si="534">$G65*CH65</f>
        <v>0</v>
      </c>
      <c r="CK65" s="22"/>
      <c r="CL65" s="22">
        <f t="shared" si="285"/>
        <v>0</v>
      </c>
      <c r="CM65" s="22">
        <f t="shared" ref="CM65:CM68" si="535">$G65*CK65</f>
        <v>0</v>
      </c>
      <c r="CN65" s="22"/>
      <c r="CO65" s="22">
        <f t="shared" si="287"/>
        <v>0</v>
      </c>
      <c r="CP65" s="22">
        <f t="shared" ref="CP65:CP68" si="536">$G65*CN65</f>
        <v>0</v>
      </c>
      <c r="CQ65" s="22"/>
      <c r="CR65" s="22">
        <f t="shared" si="289"/>
        <v>0</v>
      </c>
      <c r="CS65" s="22">
        <f t="shared" ref="CS65:CS68" si="537">$G65*CQ65</f>
        <v>0</v>
      </c>
      <c r="CT65" s="22"/>
      <c r="CU65" s="22">
        <f t="shared" si="291"/>
        <v>0</v>
      </c>
      <c r="CV65" s="22">
        <f t="shared" ref="CV65:CV68" si="538">$G65*CT65</f>
        <v>0</v>
      </c>
      <c r="CW65" s="22"/>
      <c r="CX65" s="22">
        <f t="shared" si="293"/>
        <v>0</v>
      </c>
      <c r="CY65" s="22">
        <f t="shared" ref="CY65:CY68" si="539">$G65*CW65</f>
        <v>0</v>
      </c>
      <c r="CZ65" s="22"/>
      <c r="DA65" s="22">
        <f t="shared" si="295"/>
        <v>0</v>
      </c>
      <c r="DB65" s="22">
        <f t="shared" ref="DB65:DB68" si="540">$G65*CZ65</f>
        <v>0</v>
      </c>
      <c r="DC65" s="22"/>
      <c r="DD65" s="22">
        <f t="shared" si="297"/>
        <v>0</v>
      </c>
      <c r="DE65" s="22">
        <f t="shared" ref="DE65:DE68" si="541">$G65*DC65</f>
        <v>0</v>
      </c>
      <c r="DF65" s="22"/>
      <c r="DG65" s="22">
        <f t="shared" si="299"/>
        <v>0</v>
      </c>
      <c r="DH65" s="22">
        <f t="shared" ref="DH65:DH68" si="542">$G65*DF65</f>
        <v>0</v>
      </c>
      <c r="DI65" s="22"/>
      <c r="DJ65" s="22">
        <f t="shared" si="301"/>
        <v>0</v>
      </c>
      <c r="DK65" s="22">
        <f t="shared" ref="DK65:DK68" si="543">$G65*DI65</f>
        <v>0</v>
      </c>
      <c r="DL65" s="22"/>
      <c r="DM65" s="22">
        <f t="shared" si="303"/>
        <v>0</v>
      </c>
      <c r="DN65" s="22">
        <f t="shared" ref="DN65:DN68" si="544">$G65*DL65</f>
        <v>0</v>
      </c>
      <c r="DO65" s="22"/>
      <c r="DP65" s="22">
        <f t="shared" si="305"/>
        <v>0</v>
      </c>
      <c r="DQ65" s="22">
        <f t="shared" ref="DQ65:DQ68" si="545">$G65*DO65</f>
        <v>0</v>
      </c>
      <c r="DR65" s="22">
        <v>1</v>
      </c>
      <c r="DS65" s="22">
        <f t="shared" si="307"/>
        <v>0</v>
      </c>
      <c r="DT65" s="22">
        <f t="shared" ref="DT65:DT68" si="546">$G65*DR65</f>
        <v>0</v>
      </c>
      <c r="DU65" s="22"/>
      <c r="DV65" s="22">
        <f t="shared" si="309"/>
        <v>0</v>
      </c>
      <c r="DW65" s="22">
        <f t="shared" ref="DW65:DW68" si="547">$G65*DU65</f>
        <v>0</v>
      </c>
      <c r="DX65" s="22"/>
      <c r="DY65" s="22">
        <f t="shared" si="311"/>
        <v>0</v>
      </c>
      <c r="DZ65" s="22">
        <f t="shared" ref="DZ65:DZ68" si="548">$G65*DX65</f>
        <v>0</v>
      </c>
      <c r="EA65" s="22"/>
      <c r="EB65" s="22">
        <f t="shared" si="313"/>
        <v>0</v>
      </c>
      <c r="EC65" s="22">
        <f t="shared" ref="EC65:EC68" si="549">$G65*EA65</f>
        <v>0</v>
      </c>
      <c r="ED65" s="22">
        <v>1</v>
      </c>
      <c r="EE65" s="22">
        <f t="shared" si="315"/>
        <v>2</v>
      </c>
      <c r="EF65" s="22">
        <f t="shared" ref="EF65:EF68" si="550">$G65*ED65</f>
        <v>0</v>
      </c>
      <c r="EG65" s="22"/>
      <c r="EH65" s="22">
        <f t="shared" si="317"/>
        <v>0</v>
      </c>
      <c r="EI65" s="22">
        <f t="shared" ref="EI65:EI68" si="551">$G65*EG65</f>
        <v>0</v>
      </c>
      <c r="EJ65" s="22"/>
      <c r="EK65" s="22">
        <f t="shared" si="319"/>
        <v>0</v>
      </c>
      <c r="EL65" s="22">
        <f t="shared" ref="EL65:EL68" si="552">$G65*EJ65</f>
        <v>0</v>
      </c>
      <c r="EM65" s="22"/>
      <c r="EN65" s="22">
        <f t="shared" si="321"/>
        <v>0</v>
      </c>
      <c r="EO65" s="22">
        <f t="shared" ref="EO65:EO68" si="553">$G65*EM65</f>
        <v>0</v>
      </c>
    </row>
    <row r="66" spans="1:145">
      <c r="A66" s="15">
        <v>76</v>
      </c>
      <c r="B66" s="15" t="s">
        <v>457</v>
      </c>
      <c r="C66" s="16" t="s">
        <v>397</v>
      </c>
      <c r="D66" s="15" t="s">
        <v>458</v>
      </c>
      <c r="E66" s="15" t="s">
        <v>399</v>
      </c>
      <c r="F66" s="19">
        <f t="shared" si="415"/>
        <v>2</v>
      </c>
      <c r="G66" s="20"/>
      <c r="H66" s="21"/>
      <c r="I66" s="22">
        <f t="shared" si="231"/>
        <v>0</v>
      </c>
      <c r="J66" s="22">
        <f t="shared" si="508"/>
        <v>0</v>
      </c>
      <c r="K66" s="22"/>
      <c r="L66" s="22">
        <f t="shared" si="233"/>
        <v>0</v>
      </c>
      <c r="M66" s="22">
        <f t="shared" si="509"/>
        <v>0</v>
      </c>
      <c r="N66" s="22"/>
      <c r="O66" s="22">
        <f t="shared" si="235"/>
        <v>0</v>
      </c>
      <c r="P66" s="22">
        <f t="shared" si="510"/>
        <v>0</v>
      </c>
      <c r="Q66" s="22"/>
      <c r="R66" s="22">
        <f t="shared" si="237"/>
        <v>0</v>
      </c>
      <c r="S66" s="22">
        <f t="shared" si="511"/>
        <v>0</v>
      </c>
      <c r="T66" s="22"/>
      <c r="U66" s="22">
        <f t="shared" si="239"/>
        <v>0</v>
      </c>
      <c r="V66" s="22">
        <f t="shared" si="512"/>
        <v>0</v>
      </c>
      <c r="W66" s="22"/>
      <c r="X66" s="22">
        <f t="shared" si="241"/>
        <v>0</v>
      </c>
      <c r="Y66" s="22">
        <f t="shared" si="513"/>
        <v>0</v>
      </c>
      <c r="Z66" s="22"/>
      <c r="AA66" s="22">
        <f t="shared" si="243"/>
        <v>0</v>
      </c>
      <c r="AB66" s="22">
        <f t="shared" si="514"/>
        <v>0</v>
      </c>
      <c r="AC66" s="22"/>
      <c r="AD66" s="22">
        <f t="shared" si="245"/>
        <v>0</v>
      </c>
      <c r="AE66" s="22">
        <f t="shared" si="515"/>
        <v>0</v>
      </c>
      <c r="AF66" s="22"/>
      <c r="AG66" s="22">
        <f t="shared" si="247"/>
        <v>0</v>
      </c>
      <c r="AH66" s="22">
        <f t="shared" si="516"/>
        <v>0</v>
      </c>
      <c r="AI66" s="22"/>
      <c r="AJ66" s="22">
        <f t="shared" si="249"/>
        <v>0</v>
      </c>
      <c r="AK66" s="22">
        <f t="shared" si="517"/>
        <v>0</v>
      </c>
      <c r="AL66" s="22"/>
      <c r="AM66" s="22">
        <f t="shared" si="251"/>
        <v>0</v>
      </c>
      <c r="AN66" s="22">
        <f t="shared" si="518"/>
        <v>0</v>
      </c>
      <c r="AO66" s="22"/>
      <c r="AP66" s="22">
        <f t="shared" si="253"/>
        <v>0</v>
      </c>
      <c r="AQ66" s="22">
        <f t="shared" si="519"/>
        <v>0</v>
      </c>
      <c r="AR66" s="22"/>
      <c r="AS66" s="22">
        <f t="shared" si="255"/>
        <v>0</v>
      </c>
      <c r="AT66" s="22">
        <f t="shared" si="520"/>
        <v>0</v>
      </c>
      <c r="AU66" s="22"/>
      <c r="AV66" s="22">
        <f t="shared" si="257"/>
        <v>0</v>
      </c>
      <c r="AW66" s="22">
        <f t="shared" si="521"/>
        <v>0</v>
      </c>
      <c r="AX66" s="22"/>
      <c r="AY66" s="22">
        <f t="shared" si="259"/>
        <v>0</v>
      </c>
      <c r="AZ66" s="22">
        <f t="shared" si="522"/>
        <v>0</v>
      </c>
      <c r="BA66" s="22"/>
      <c r="BB66" s="22">
        <f t="shared" si="261"/>
        <v>0</v>
      </c>
      <c r="BC66" s="22">
        <f t="shared" si="523"/>
        <v>0</v>
      </c>
      <c r="BD66" s="22">
        <v>1</v>
      </c>
      <c r="BE66" s="22">
        <f t="shared" si="263"/>
        <v>0</v>
      </c>
      <c r="BF66" s="22">
        <f t="shared" si="524"/>
        <v>0</v>
      </c>
      <c r="BG66" s="22"/>
      <c r="BH66" s="22">
        <f t="shared" si="265"/>
        <v>0</v>
      </c>
      <c r="BI66" s="22">
        <f t="shared" si="525"/>
        <v>0</v>
      </c>
      <c r="BJ66" s="22"/>
      <c r="BK66" s="22">
        <f t="shared" si="267"/>
        <v>0</v>
      </c>
      <c r="BL66" s="22">
        <f t="shared" si="526"/>
        <v>0</v>
      </c>
      <c r="BM66" s="22"/>
      <c r="BN66" s="22">
        <f t="shared" si="269"/>
        <v>0</v>
      </c>
      <c r="BO66" s="22">
        <f t="shared" si="527"/>
        <v>0</v>
      </c>
      <c r="BP66" s="22"/>
      <c r="BQ66" s="22">
        <f t="shared" si="271"/>
        <v>0</v>
      </c>
      <c r="BR66" s="22">
        <f t="shared" si="528"/>
        <v>0</v>
      </c>
      <c r="BS66" s="22">
        <v>1</v>
      </c>
      <c r="BT66" s="22">
        <f t="shared" si="273"/>
        <v>0</v>
      </c>
      <c r="BU66" s="22">
        <f t="shared" si="529"/>
        <v>0</v>
      </c>
      <c r="BV66" s="22">
        <v>1</v>
      </c>
      <c r="BW66" s="22">
        <f t="shared" si="275"/>
        <v>2</v>
      </c>
      <c r="BX66" s="22">
        <f t="shared" si="530"/>
        <v>0</v>
      </c>
      <c r="BY66" s="22">
        <v>1</v>
      </c>
      <c r="BZ66" s="22">
        <f t="shared" si="277"/>
        <v>0</v>
      </c>
      <c r="CA66" s="22">
        <f t="shared" si="531"/>
        <v>0</v>
      </c>
      <c r="CB66" s="22">
        <v>1</v>
      </c>
      <c r="CC66" s="22">
        <f t="shared" si="279"/>
        <v>0</v>
      </c>
      <c r="CD66" s="22">
        <f t="shared" si="532"/>
        <v>0</v>
      </c>
      <c r="CE66" s="22"/>
      <c r="CF66" s="22">
        <f t="shared" si="281"/>
        <v>0</v>
      </c>
      <c r="CG66" s="22">
        <f t="shared" si="533"/>
        <v>0</v>
      </c>
      <c r="CH66" s="22"/>
      <c r="CI66" s="22">
        <f t="shared" si="283"/>
        <v>0</v>
      </c>
      <c r="CJ66" s="22">
        <f t="shared" si="534"/>
        <v>0</v>
      </c>
      <c r="CK66" s="22"/>
      <c r="CL66" s="22">
        <f t="shared" si="285"/>
        <v>0</v>
      </c>
      <c r="CM66" s="22">
        <f t="shared" si="535"/>
        <v>0</v>
      </c>
      <c r="CN66" s="22"/>
      <c r="CO66" s="22">
        <f t="shared" si="287"/>
        <v>0</v>
      </c>
      <c r="CP66" s="22">
        <f t="shared" si="536"/>
        <v>0</v>
      </c>
      <c r="CQ66" s="22"/>
      <c r="CR66" s="22">
        <f t="shared" si="289"/>
        <v>0</v>
      </c>
      <c r="CS66" s="22">
        <f t="shared" si="537"/>
        <v>0</v>
      </c>
      <c r="CT66" s="22"/>
      <c r="CU66" s="22">
        <f t="shared" si="291"/>
        <v>0</v>
      </c>
      <c r="CV66" s="22">
        <f t="shared" si="538"/>
        <v>0</v>
      </c>
      <c r="CW66" s="22"/>
      <c r="CX66" s="22">
        <f t="shared" si="293"/>
        <v>0</v>
      </c>
      <c r="CY66" s="22">
        <f t="shared" si="539"/>
        <v>0</v>
      </c>
      <c r="CZ66" s="22"/>
      <c r="DA66" s="22">
        <f t="shared" si="295"/>
        <v>0</v>
      </c>
      <c r="DB66" s="22">
        <f t="shared" si="540"/>
        <v>0</v>
      </c>
      <c r="DC66" s="22"/>
      <c r="DD66" s="22">
        <f t="shared" si="297"/>
        <v>0</v>
      </c>
      <c r="DE66" s="22">
        <f t="shared" si="541"/>
        <v>0</v>
      </c>
      <c r="DF66" s="22"/>
      <c r="DG66" s="22">
        <f t="shared" si="299"/>
        <v>0</v>
      </c>
      <c r="DH66" s="22">
        <f t="shared" si="542"/>
        <v>0</v>
      </c>
      <c r="DI66" s="22"/>
      <c r="DJ66" s="22">
        <f t="shared" si="301"/>
        <v>0</v>
      </c>
      <c r="DK66" s="22">
        <f t="shared" si="543"/>
        <v>0</v>
      </c>
      <c r="DL66" s="22"/>
      <c r="DM66" s="22">
        <f t="shared" si="303"/>
        <v>0</v>
      </c>
      <c r="DN66" s="22">
        <f t="shared" si="544"/>
        <v>0</v>
      </c>
      <c r="DO66" s="22"/>
      <c r="DP66" s="22">
        <f t="shared" si="305"/>
        <v>0</v>
      </c>
      <c r="DQ66" s="22">
        <f t="shared" si="545"/>
        <v>0</v>
      </c>
      <c r="DR66" s="22"/>
      <c r="DS66" s="22">
        <f t="shared" si="307"/>
        <v>0</v>
      </c>
      <c r="DT66" s="22">
        <f t="shared" si="546"/>
        <v>0</v>
      </c>
      <c r="DU66" s="22"/>
      <c r="DV66" s="22">
        <f t="shared" si="309"/>
        <v>0</v>
      </c>
      <c r="DW66" s="22">
        <f t="shared" si="547"/>
        <v>0</v>
      </c>
      <c r="DX66" s="22"/>
      <c r="DY66" s="22">
        <f t="shared" si="311"/>
        <v>0</v>
      </c>
      <c r="DZ66" s="22">
        <f t="shared" si="548"/>
        <v>0</v>
      </c>
      <c r="EA66" s="22"/>
      <c r="EB66" s="22">
        <f t="shared" si="313"/>
        <v>0</v>
      </c>
      <c r="EC66" s="22">
        <f t="shared" si="549"/>
        <v>0</v>
      </c>
      <c r="ED66" s="22"/>
      <c r="EE66" s="22">
        <f t="shared" si="315"/>
        <v>0</v>
      </c>
      <c r="EF66" s="22">
        <f t="shared" si="550"/>
        <v>0</v>
      </c>
      <c r="EG66" s="22"/>
      <c r="EH66" s="22">
        <f t="shared" si="317"/>
        <v>0</v>
      </c>
      <c r="EI66" s="22">
        <f t="shared" si="551"/>
        <v>0</v>
      </c>
      <c r="EJ66" s="22"/>
      <c r="EK66" s="22">
        <f t="shared" si="319"/>
        <v>0</v>
      </c>
      <c r="EL66" s="22">
        <f t="shared" si="552"/>
        <v>0</v>
      </c>
      <c r="EM66" s="22"/>
      <c r="EN66" s="22">
        <f t="shared" si="321"/>
        <v>0</v>
      </c>
      <c r="EO66" s="22">
        <f t="shared" si="553"/>
        <v>0</v>
      </c>
    </row>
    <row r="67" spans="1:145">
      <c r="A67" s="15">
        <v>79</v>
      </c>
      <c r="B67" s="15" t="s">
        <v>463</v>
      </c>
      <c r="C67" s="16" t="s">
        <v>397</v>
      </c>
      <c r="D67" s="15" t="s">
        <v>464</v>
      </c>
      <c r="E67" s="15" t="s">
        <v>399</v>
      </c>
      <c r="F67" s="19">
        <f t="shared" si="415"/>
        <v>1</v>
      </c>
      <c r="G67" s="20"/>
      <c r="H67" s="21"/>
      <c r="I67" s="22">
        <f t="shared" si="231"/>
        <v>0</v>
      </c>
      <c r="J67" s="22">
        <f t="shared" si="508"/>
        <v>0</v>
      </c>
      <c r="K67" s="22"/>
      <c r="L67" s="22">
        <f t="shared" si="233"/>
        <v>0</v>
      </c>
      <c r="M67" s="22">
        <f t="shared" si="509"/>
        <v>0</v>
      </c>
      <c r="N67" s="22"/>
      <c r="O67" s="22">
        <f t="shared" si="235"/>
        <v>0</v>
      </c>
      <c r="P67" s="22">
        <f t="shared" si="510"/>
        <v>0</v>
      </c>
      <c r="Q67" s="22"/>
      <c r="R67" s="22">
        <f t="shared" si="237"/>
        <v>0</v>
      </c>
      <c r="S67" s="22">
        <f t="shared" si="511"/>
        <v>0</v>
      </c>
      <c r="T67" s="22"/>
      <c r="U67" s="22">
        <f t="shared" si="239"/>
        <v>0</v>
      </c>
      <c r="V67" s="22">
        <f t="shared" si="512"/>
        <v>0</v>
      </c>
      <c r="W67" s="22"/>
      <c r="X67" s="22">
        <f t="shared" si="241"/>
        <v>0</v>
      </c>
      <c r="Y67" s="22">
        <f t="shared" si="513"/>
        <v>0</v>
      </c>
      <c r="Z67" s="22"/>
      <c r="AA67" s="22">
        <f t="shared" si="243"/>
        <v>0</v>
      </c>
      <c r="AB67" s="22">
        <f t="shared" si="514"/>
        <v>0</v>
      </c>
      <c r="AC67" s="22"/>
      <c r="AD67" s="22">
        <f t="shared" si="245"/>
        <v>0</v>
      </c>
      <c r="AE67" s="22">
        <f t="shared" si="515"/>
        <v>0</v>
      </c>
      <c r="AF67" s="22"/>
      <c r="AG67" s="22">
        <f t="shared" si="247"/>
        <v>0</v>
      </c>
      <c r="AH67" s="22">
        <f t="shared" si="516"/>
        <v>0</v>
      </c>
      <c r="AI67" s="22"/>
      <c r="AJ67" s="22">
        <f t="shared" si="249"/>
        <v>0</v>
      </c>
      <c r="AK67" s="22">
        <f t="shared" si="517"/>
        <v>0</v>
      </c>
      <c r="AL67" s="22"/>
      <c r="AM67" s="22">
        <f t="shared" si="251"/>
        <v>0</v>
      </c>
      <c r="AN67" s="22">
        <f t="shared" si="518"/>
        <v>0</v>
      </c>
      <c r="AO67" s="22"/>
      <c r="AP67" s="22">
        <f t="shared" si="253"/>
        <v>0</v>
      </c>
      <c r="AQ67" s="22">
        <f t="shared" si="519"/>
        <v>0</v>
      </c>
      <c r="AR67" s="22"/>
      <c r="AS67" s="22">
        <f t="shared" si="255"/>
        <v>0</v>
      </c>
      <c r="AT67" s="22">
        <f t="shared" si="520"/>
        <v>0</v>
      </c>
      <c r="AU67" s="22"/>
      <c r="AV67" s="22">
        <f t="shared" si="257"/>
        <v>0</v>
      </c>
      <c r="AW67" s="22">
        <f t="shared" si="521"/>
        <v>0</v>
      </c>
      <c r="AX67" s="22"/>
      <c r="AY67" s="22">
        <f t="shared" si="259"/>
        <v>0</v>
      </c>
      <c r="AZ67" s="22">
        <f t="shared" si="522"/>
        <v>0</v>
      </c>
      <c r="BA67" s="22"/>
      <c r="BB67" s="22">
        <f t="shared" si="261"/>
        <v>0</v>
      </c>
      <c r="BC67" s="22">
        <f t="shared" si="523"/>
        <v>0</v>
      </c>
      <c r="BD67" s="22"/>
      <c r="BE67" s="22">
        <f t="shared" si="263"/>
        <v>0</v>
      </c>
      <c r="BF67" s="22">
        <f t="shared" si="524"/>
        <v>0</v>
      </c>
      <c r="BG67" s="22">
        <v>1</v>
      </c>
      <c r="BH67" s="22">
        <f t="shared" si="265"/>
        <v>0</v>
      </c>
      <c r="BI67" s="22">
        <f t="shared" si="525"/>
        <v>0</v>
      </c>
      <c r="BJ67" s="22">
        <v>1</v>
      </c>
      <c r="BK67" s="22">
        <f t="shared" si="267"/>
        <v>1</v>
      </c>
      <c r="BL67" s="22">
        <f t="shared" si="526"/>
        <v>0</v>
      </c>
      <c r="BM67" s="22">
        <v>1</v>
      </c>
      <c r="BN67" s="22">
        <f t="shared" si="269"/>
        <v>0</v>
      </c>
      <c r="BO67" s="22">
        <f t="shared" si="527"/>
        <v>0</v>
      </c>
      <c r="BP67" s="22"/>
      <c r="BQ67" s="22">
        <f t="shared" si="271"/>
        <v>0</v>
      </c>
      <c r="BR67" s="22">
        <f t="shared" si="528"/>
        <v>0</v>
      </c>
      <c r="BS67" s="22"/>
      <c r="BT67" s="22">
        <f t="shared" si="273"/>
        <v>0</v>
      </c>
      <c r="BU67" s="22">
        <f t="shared" si="529"/>
        <v>0</v>
      </c>
      <c r="BV67" s="22"/>
      <c r="BW67" s="22">
        <f t="shared" si="275"/>
        <v>0</v>
      </c>
      <c r="BX67" s="22">
        <f t="shared" si="530"/>
        <v>0</v>
      </c>
      <c r="BY67" s="22"/>
      <c r="BZ67" s="22">
        <f t="shared" si="277"/>
        <v>0</v>
      </c>
      <c r="CA67" s="22">
        <f t="shared" si="531"/>
        <v>0</v>
      </c>
      <c r="CB67" s="22"/>
      <c r="CC67" s="22">
        <f t="shared" si="279"/>
        <v>0</v>
      </c>
      <c r="CD67" s="22">
        <f t="shared" si="532"/>
        <v>0</v>
      </c>
      <c r="CE67" s="22">
        <v>1</v>
      </c>
      <c r="CF67" s="22">
        <f t="shared" si="281"/>
        <v>0</v>
      </c>
      <c r="CG67" s="22">
        <f t="shared" si="533"/>
        <v>0</v>
      </c>
      <c r="CH67" s="22">
        <v>1</v>
      </c>
      <c r="CI67" s="22">
        <f t="shared" si="283"/>
        <v>0</v>
      </c>
      <c r="CJ67" s="22">
        <f t="shared" si="534"/>
        <v>0</v>
      </c>
      <c r="CK67" s="22">
        <v>1</v>
      </c>
      <c r="CL67" s="22">
        <f t="shared" si="285"/>
        <v>0</v>
      </c>
      <c r="CM67" s="22">
        <f t="shared" si="535"/>
        <v>0</v>
      </c>
      <c r="CN67" s="22">
        <v>1</v>
      </c>
      <c r="CO67" s="22">
        <f t="shared" si="287"/>
        <v>0</v>
      </c>
      <c r="CP67" s="22">
        <f t="shared" si="536"/>
        <v>0</v>
      </c>
      <c r="CQ67" s="22"/>
      <c r="CR67" s="22">
        <f t="shared" si="289"/>
        <v>0</v>
      </c>
      <c r="CS67" s="22">
        <f t="shared" si="537"/>
        <v>0</v>
      </c>
      <c r="CT67" s="22"/>
      <c r="CU67" s="22">
        <f t="shared" si="291"/>
        <v>0</v>
      </c>
      <c r="CV67" s="22">
        <f t="shared" si="538"/>
        <v>0</v>
      </c>
      <c r="CW67" s="22"/>
      <c r="CX67" s="22">
        <f t="shared" si="293"/>
        <v>0</v>
      </c>
      <c r="CY67" s="22">
        <f t="shared" si="539"/>
        <v>0</v>
      </c>
      <c r="CZ67" s="22"/>
      <c r="DA67" s="22">
        <f t="shared" si="295"/>
        <v>0</v>
      </c>
      <c r="DB67" s="22">
        <f t="shared" si="540"/>
        <v>0</v>
      </c>
      <c r="DC67" s="22"/>
      <c r="DD67" s="22">
        <f t="shared" si="297"/>
        <v>0</v>
      </c>
      <c r="DE67" s="22">
        <f t="shared" si="541"/>
        <v>0</v>
      </c>
      <c r="DF67" s="22"/>
      <c r="DG67" s="22">
        <f t="shared" si="299"/>
        <v>0</v>
      </c>
      <c r="DH67" s="22">
        <f t="shared" si="542"/>
        <v>0</v>
      </c>
      <c r="DI67" s="22"/>
      <c r="DJ67" s="22">
        <f t="shared" si="301"/>
        <v>0</v>
      </c>
      <c r="DK67" s="22">
        <f t="shared" si="543"/>
        <v>0</v>
      </c>
      <c r="DL67" s="22"/>
      <c r="DM67" s="22">
        <f t="shared" si="303"/>
        <v>0</v>
      </c>
      <c r="DN67" s="22">
        <f t="shared" si="544"/>
        <v>0</v>
      </c>
      <c r="DO67" s="22"/>
      <c r="DP67" s="22">
        <f t="shared" si="305"/>
        <v>0</v>
      </c>
      <c r="DQ67" s="22">
        <f t="shared" si="545"/>
        <v>0</v>
      </c>
      <c r="DR67" s="22"/>
      <c r="DS67" s="22">
        <f t="shared" si="307"/>
        <v>0</v>
      </c>
      <c r="DT67" s="22">
        <f t="shared" si="546"/>
        <v>0</v>
      </c>
      <c r="DU67" s="22"/>
      <c r="DV67" s="22">
        <f t="shared" si="309"/>
        <v>0</v>
      </c>
      <c r="DW67" s="22">
        <f t="shared" si="547"/>
        <v>0</v>
      </c>
      <c r="DX67" s="22"/>
      <c r="DY67" s="22">
        <f t="shared" si="311"/>
        <v>0</v>
      </c>
      <c r="DZ67" s="22">
        <f t="shared" si="548"/>
        <v>0</v>
      </c>
      <c r="EA67" s="22"/>
      <c r="EB67" s="22">
        <f t="shared" si="313"/>
        <v>0</v>
      </c>
      <c r="EC67" s="22">
        <f t="shared" si="549"/>
        <v>0</v>
      </c>
      <c r="ED67" s="22"/>
      <c r="EE67" s="22">
        <f t="shared" si="315"/>
        <v>0</v>
      </c>
      <c r="EF67" s="22">
        <f t="shared" si="550"/>
        <v>0</v>
      </c>
      <c r="EG67" s="22"/>
      <c r="EH67" s="22">
        <f t="shared" si="317"/>
        <v>0</v>
      </c>
      <c r="EI67" s="22">
        <f t="shared" si="551"/>
        <v>0</v>
      </c>
      <c r="EJ67" s="22"/>
      <c r="EK67" s="22">
        <f t="shared" si="319"/>
        <v>0</v>
      </c>
      <c r="EL67" s="22">
        <f t="shared" si="552"/>
        <v>0</v>
      </c>
      <c r="EM67" s="22"/>
      <c r="EN67" s="22">
        <f t="shared" si="321"/>
        <v>0</v>
      </c>
      <c r="EO67" s="22">
        <f t="shared" si="553"/>
        <v>0</v>
      </c>
    </row>
    <row r="68" spans="1:145">
      <c r="A68" s="15">
        <v>81</v>
      </c>
      <c r="B68" s="15" t="s">
        <v>468</v>
      </c>
      <c r="C68" s="15" t="s">
        <v>469</v>
      </c>
      <c r="D68" s="15" t="s">
        <v>470</v>
      </c>
      <c r="E68" s="15" t="s">
        <v>380</v>
      </c>
      <c r="F68" s="19">
        <f t="shared" si="415"/>
        <v>4</v>
      </c>
      <c r="G68" s="20"/>
      <c r="H68" s="21"/>
      <c r="I68" s="22">
        <f t="shared" si="231"/>
        <v>0</v>
      </c>
      <c r="J68" s="22">
        <f t="shared" si="508"/>
        <v>0</v>
      </c>
      <c r="K68" s="22"/>
      <c r="L68" s="22">
        <f t="shared" si="233"/>
        <v>0</v>
      </c>
      <c r="M68" s="22">
        <f t="shared" si="509"/>
        <v>0</v>
      </c>
      <c r="N68" s="22"/>
      <c r="O68" s="22">
        <f t="shared" si="235"/>
        <v>0</v>
      </c>
      <c r="P68" s="22">
        <f t="shared" si="510"/>
        <v>0</v>
      </c>
      <c r="Q68" s="22"/>
      <c r="R68" s="22">
        <f t="shared" si="237"/>
        <v>0</v>
      </c>
      <c r="S68" s="22">
        <f t="shared" si="511"/>
        <v>0</v>
      </c>
      <c r="T68" s="22"/>
      <c r="U68" s="22">
        <f t="shared" si="239"/>
        <v>0</v>
      </c>
      <c r="V68" s="22">
        <f t="shared" si="512"/>
        <v>0</v>
      </c>
      <c r="W68" s="22"/>
      <c r="X68" s="22">
        <f t="shared" si="241"/>
        <v>0</v>
      </c>
      <c r="Y68" s="22">
        <f t="shared" si="513"/>
        <v>0</v>
      </c>
      <c r="Z68" s="22"/>
      <c r="AA68" s="22">
        <f t="shared" si="243"/>
        <v>0</v>
      </c>
      <c r="AB68" s="22">
        <f t="shared" si="514"/>
        <v>0</v>
      </c>
      <c r="AC68" s="22"/>
      <c r="AD68" s="22">
        <f t="shared" si="245"/>
        <v>0</v>
      </c>
      <c r="AE68" s="22">
        <f t="shared" si="515"/>
        <v>0</v>
      </c>
      <c r="AF68" s="22"/>
      <c r="AG68" s="22">
        <f t="shared" si="247"/>
        <v>0</v>
      </c>
      <c r="AH68" s="22">
        <f t="shared" si="516"/>
        <v>0</v>
      </c>
      <c r="AI68" s="22"/>
      <c r="AJ68" s="22">
        <f t="shared" si="249"/>
        <v>0</v>
      </c>
      <c r="AK68" s="22">
        <f t="shared" si="517"/>
        <v>0</v>
      </c>
      <c r="AL68" s="22"/>
      <c r="AM68" s="22">
        <f t="shared" si="251"/>
        <v>0</v>
      </c>
      <c r="AN68" s="22">
        <f t="shared" si="518"/>
        <v>0</v>
      </c>
      <c r="AO68" s="22"/>
      <c r="AP68" s="22">
        <f t="shared" si="253"/>
        <v>0</v>
      </c>
      <c r="AQ68" s="22">
        <f t="shared" si="519"/>
        <v>0</v>
      </c>
      <c r="AR68" s="22"/>
      <c r="AS68" s="22">
        <f t="shared" si="255"/>
        <v>0</v>
      </c>
      <c r="AT68" s="22">
        <f t="shared" si="520"/>
        <v>0</v>
      </c>
      <c r="AU68" s="22"/>
      <c r="AV68" s="22">
        <f t="shared" si="257"/>
        <v>0</v>
      </c>
      <c r="AW68" s="22">
        <f t="shared" si="521"/>
        <v>0</v>
      </c>
      <c r="AX68" s="22"/>
      <c r="AY68" s="22">
        <f t="shared" si="259"/>
        <v>0</v>
      </c>
      <c r="AZ68" s="22">
        <f t="shared" si="522"/>
        <v>0</v>
      </c>
      <c r="BA68" s="22"/>
      <c r="BB68" s="22">
        <f t="shared" si="261"/>
        <v>0</v>
      </c>
      <c r="BC68" s="22">
        <f t="shared" si="523"/>
        <v>0</v>
      </c>
      <c r="BD68" s="22"/>
      <c r="BE68" s="22">
        <f t="shared" si="263"/>
        <v>0</v>
      </c>
      <c r="BF68" s="22">
        <f t="shared" si="524"/>
        <v>0</v>
      </c>
      <c r="BG68" s="22"/>
      <c r="BH68" s="22">
        <f t="shared" si="265"/>
        <v>0</v>
      </c>
      <c r="BI68" s="22">
        <f t="shared" si="525"/>
        <v>0</v>
      </c>
      <c r="BJ68" s="22">
        <v>2</v>
      </c>
      <c r="BK68" s="22">
        <f t="shared" si="267"/>
        <v>2</v>
      </c>
      <c r="BL68" s="22">
        <f t="shared" si="526"/>
        <v>0</v>
      </c>
      <c r="BM68" s="22">
        <v>1</v>
      </c>
      <c r="BN68" s="22">
        <f t="shared" si="269"/>
        <v>0</v>
      </c>
      <c r="BO68" s="22">
        <f t="shared" si="527"/>
        <v>0</v>
      </c>
      <c r="BP68" s="22"/>
      <c r="BQ68" s="22">
        <f t="shared" si="271"/>
        <v>0</v>
      </c>
      <c r="BR68" s="22">
        <f t="shared" si="528"/>
        <v>0</v>
      </c>
      <c r="BS68" s="22"/>
      <c r="BT68" s="22">
        <f t="shared" si="273"/>
        <v>0</v>
      </c>
      <c r="BU68" s="22">
        <f t="shared" si="529"/>
        <v>0</v>
      </c>
      <c r="BV68" s="22">
        <v>1</v>
      </c>
      <c r="BW68" s="22">
        <f t="shared" si="275"/>
        <v>2</v>
      </c>
      <c r="BX68" s="22">
        <f t="shared" si="530"/>
        <v>0</v>
      </c>
      <c r="BY68" s="22">
        <v>1</v>
      </c>
      <c r="BZ68" s="22">
        <f t="shared" si="277"/>
        <v>0</v>
      </c>
      <c r="CA68" s="22">
        <f t="shared" si="531"/>
        <v>0</v>
      </c>
      <c r="CB68" s="22"/>
      <c r="CC68" s="22">
        <f t="shared" si="279"/>
        <v>0</v>
      </c>
      <c r="CD68" s="22">
        <f t="shared" si="532"/>
        <v>0</v>
      </c>
      <c r="CE68" s="22"/>
      <c r="CF68" s="22">
        <f t="shared" si="281"/>
        <v>0</v>
      </c>
      <c r="CG68" s="22">
        <f t="shared" si="533"/>
        <v>0</v>
      </c>
      <c r="CH68" s="22"/>
      <c r="CI68" s="22">
        <f t="shared" si="283"/>
        <v>0</v>
      </c>
      <c r="CJ68" s="22">
        <f t="shared" si="534"/>
        <v>0</v>
      </c>
      <c r="CK68" s="22">
        <v>1</v>
      </c>
      <c r="CL68" s="22">
        <f t="shared" si="285"/>
        <v>0</v>
      </c>
      <c r="CM68" s="22">
        <f t="shared" si="535"/>
        <v>0</v>
      </c>
      <c r="CN68" s="22"/>
      <c r="CO68" s="22">
        <f t="shared" si="287"/>
        <v>0</v>
      </c>
      <c r="CP68" s="22">
        <f t="shared" si="536"/>
        <v>0</v>
      </c>
      <c r="CQ68" s="22"/>
      <c r="CR68" s="22">
        <f t="shared" si="289"/>
        <v>0</v>
      </c>
      <c r="CS68" s="22">
        <f t="shared" si="537"/>
        <v>0</v>
      </c>
      <c r="CT68" s="22"/>
      <c r="CU68" s="22">
        <f t="shared" si="291"/>
        <v>0</v>
      </c>
      <c r="CV68" s="22">
        <f t="shared" si="538"/>
        <v>0</v>
      </c>
      <c r="CW68" s="22"/>
      <c r="CX68" s="22">
        <f t="shared" si="293"/>
        <v>0</v>
      </c>
      <c r="CY68" s="22">
        <f t="shared" si="539"/>
        <v>0</v>
      </c>
      <c r="CZ68" s="22"/>
      <c r="DA68" s="22">
        <f t="shared" si="295"/>
        <v>0</v>
      </c>
      <c r="DB68" s="22">
        <f t="shared" si="540"/>
        <v>0</v>
      </c>
      <c r="DC68" s="22">
        <v>1</v>
      </c>
      <c r="DD68" s="22">
        <f t="shared" si="297"/>
        <v>0</v>
      </c>
      <c r="DE68" s="22">
        <f t="shared" si="541"/>
        <v>0</v>
      </c>
      <c r="DF68" s="22"/>
      <c r="DG68" s="22">
        <f t="shared" si="299"/>
        <v>0</v>
      </c>
      <c r="DH68" s="22">
        <f t="shared" si="542"/>
        <v>0</v>
      </c>
      <c r="DI68" s="22">
        <v>1</v>
      </c>
      <c r="DJ68" s="22">
        <f t="shared" si="301"/>
        <v>0</v>
      </c>
      <c r="DK68" s="22">
        <f t="shared" si="543"/>
        <v>0</v>
      </c>
      <c r="DL68" s="22"/>
      <c r="DM68" s="22">
        <f t="shared" si="303"/>
        <v>0</v>
      </c>
      <c r="DN68" s="22">
        <f t="shared" si="544"/>
        <v>0</v>
      </c>
      <c r="DO68" s="22"/>
      <c r="DP68" s="22">
        <f t="shared" si="305"/>
        <v>0</v>
      </c>
      <c r="DQ68" s="22">
        <f t="shared" si="545"/>
        <v>0</v>
      </c>
      <c r="DR68" s="22"/>
      <c r="DS68" s="22">
        <f t="shared" si="307"/>
        <v>0</v>
      </c>
      <c r="DT68" s="22">
        <f t="shared" si="546"/>
        <v>0</v>
      </c>
      <c r="DU68" s="22"/>
      <c r="DV68" s="22">
        <f t="shared" si="309"/>
        <v>0</v>
      </c>
      <c r="DW68" s="22">
        <f t="shared" si="547"/>
        <v>0</v>
      </c>
      <c r="DX68" s="22"/>
      <c r="DY68" s="22">
        <f t="shared" si="311"/>
        <v>0</v>
      </c>
      <c r="DZ68" s="22">
        <f t="shared" si="548"/>
        <v>0</v>
      </c>
      <c r="EA68" s="22"/>
      <c r="EB68" s="22">
        <f t="shared" si="313"/>
        <v>0</v>
      </c>
      <c r="EC68" s="22">
        <f t="shared" si="549"/>
        <v>0</v>
      </c>
      <c r="ED68" s="22"/>
      <c r="EE68" s="22">
        <f t="shared" si="315"/>
        <v>0</v>
      </c>
      <c r="EF68" s="22">
        <f t="shared" si="550"/>
        <v>0</v>
      </c>
      <c r="EG68" s="22"/>
      <c r="EH68" s="22">
        <f t="shared" si="317"/>
        <v>0</v>
      </c>
      <c r="EI68" s="22">
        <f t="shared" si="551"/>
        <v>0</v>
      </c>
      <c r="EJ68" s="22"/>
      <c r="EK68" s="22">
        <f t="shared" si="319"/>
        <v>0</v>
      </c>
      <c r="EL68" s="22">
        <f t="shared" si="552"/>
        <v>0</v>
      </c>
      <c r="EM68" s="22"/>
      <c r="EN68" s="22">
        <f t="shared" si="321"/>
        <v>0</v>
      </c>
      <c r="EO68" s="22">
        <f t="shared" si="553"/>
        <v>0</v>
      </c>
    </row>
    <row r="69" spans="1:145">
      <c r="A69" s="15">
        <v>92</v>
      </c>
      <c r="B69" s="15" t="s">
        <v>569</v>
      </c>
      <c r="C69" s="16" t="s">
        <v>374</v>
      </c>
      <c r="D69" s="15" t="s">
        <v>570</v>
      </c>
      <c r="E69" s="15" t="s">
        <v>376</v>
      </c>
      <c r="F69" s="19">
        <f t="shared" si="415"/>
        <v>2</v>
      </c>
      <c r="G69" s="20"/>
      <c r="H69" s="21"/>
      <c r="I69" s="22">
        <f t="shared" si="231"/>
        <v>0</v>
      </c>
      <c r="J69" s="22">
        <f t="shared" ref="J69:J71" si="554">$G69*H69</f>
        <v>0</v>
      </c>
      <c r="K69" s="22"/>
      <c r="L69" s="22">
        <f t="shared" si="233"/>
        <v>0</v>
      </c>
      <c r="M69" s="22">
        <f t="shared" ref="M69:M71" si="555">$G69*K69</f>
        <v>0</v>
      </c>
      <c r="N69" s="22"/>
      <c r="O69" s="22">
        <f t="shared" si="235"/>
        <v>0</v>
      </c>
      <c r="P69" s="22">
        <f t="shared" ref="P69:P71" si="556">$G69*N69</f>
        <v>0</v>
      </c>
      <c r="Q69" s="22"/>
      <c r="R69" s="22">
        <f t="shared" si="237"/>
        <v>0</v>
      </c>
      <c r="S69" s="22">
        <f t="shared" ref="S69:S71" si="557">$G69*Q69</f>
        <v>0</v>
      </c>
      <c r="T69" s="22"/>
      <c r="U69" s="22">
        <f t="shared" si="239"/>
        <v>0</v>
      </c>
      <c r="V69" s="22">
        <f t="shared" ref="V69:V71" si="558">$G69*T69</f>
        <v>0</v>
      </c>
      <c r="W69" s="22"/>
      <c r="X69" s="22">
        <f t="shared" si="241"/>
        <v>0</v>
      </c>
      <c r="Y69" s="22">
        <f t="shared" ref="Y69:Y71" si="559">$G69*W69</f>
        <v>0</v>
      </c>
      <c r="Z69" s="22"/>
      <c r="AA69" s="22">
        <f t="shared" si="243"/>
        <v>0</v>
      </c>
      <c r="AB69" s="22">
        <f t="shared" ref="AB69:AB71" si="560">$G69*Z69</f>
        <v>0</v>
      </c>
      <c r="AC69" s="22"/>
      <c r="AD69" s="22">
        <f t="shared" si="245"/>
        <v>0</v>
      </c>
      <c r="AE69" s="22">
        <f t="shared" ref="AE69:AE71" si="561">$G69*AC69</f>
        <v>0</v>
      </c>
      <c r="AF69" s="22"/>
      <c r="AG69" s="22">
        <f t="shared" si="247"/>
        <v>0</v>
      </c>
      <c r="AH69" s="22">
        <f t="shared" ref="AH69:AH71" si="562">$G69*AF69</f>
        <v>0</v>
      </c>
      <c r="AI69" s="22"/>
      <c r="AJ69" s="22">
        <f t="shared" si="249"/>
        <v>0</v>
      </c>
      <c r="AK69" s="22">
        <f t="shared" ref="AK69:AK71" si="563">$G69*AI69</f>
        <v>0</v>
      </c>
      <c r="AL69" s="22"/>
      <c r="AM69" s="22">
        <f t="shared" si="251"/>
        <v>0</v>
      </c>
      <c r="AN69" s="22">
        <f t="shared" ref="AN69:AN71" si="564">$G69*AL69</f>
        <v>0</v>
      </c>
      <c r="AO69" s="22"/>
      <c r="AP69" s="22">
        <f t="shared" si="253"/>
        <v>0</v>
      </c>
      <c r="AQ69" s="22">
        <f t="shared" ref="AQ69:AQ71" si="565">$G69*AO69</f>
        <v>0</v>
      </c>
      <c r="AR69" s="22"/>
      <c r="AS69" s="22">
        <f t="shared" si="255"/>
        <v>0</v>
      </c>
      <c r="AT69" s="22">
        <f t="shared" ref="AT69:AT71" si="566">$G69*AR69</f>
        <v>0</v>
      </c>
      <c r="AU69" s="22"/>
      <c r="AV69" s="22">
        <f t="shared" si="257"/>
        <v>0</v>
      </c>
      <c r="AW69" s="22">
        <f t="shared" ref="AW69:AW71" si="567">$G69*AU69</f>
        <v>0</v>
      </c>
      <c r="AX69" s="22"/>
      <c r="AY69" s="22">
        <f t="shared" si="259"/>
        <v>0</v>
      </c>
      <c r="AZ69" s="22">
        <f t="shared" ref="AZ69:AZ71" si="568">$G69*AX69</f>
        <v>0</v>
      </c>
      <c r="BA69" s="22"/>
      <c r="BB69" s="22">
        <f t="shared" si="261"/>
        <v>0</v>
      </c>
      <c r="BC69" s="22">
        <f t="shared" ref="BC69:BC71" si="569">$G69*BA69</f>
        <v>0</v>
      </c>
      <c r="BD69" s="22"/>
      <c r="BE69" s="22">
        <f t="shared" si="263"/>
        <v>0</v>
      </c>
      <c r="BF69" s="22">
        <f t="shared" ref="BF69:BF71" si="570">$G69*BD69</f>
        <v>0</v>
      </c>
      <c r="BG69" s="22"/>
      <c r="BH69" s="22">
        <f t="shared" si="265"/>
        <v>0</v>
      </c>
      <c r="BI69" s="22">
        <f t="shared" ref="BI69:BI71" si="571">$G69*BG69</f>
        <v>0</v>
      </c>
      <c r="BJ69" s="22"/>
      <c r="BK69" s="22">
        <f t="shared" si="267"/>
        <v>0</v>
      </c>
      <c r="BL69" s="22">
        <f t="shared" ref="BL69:BL71" si="572">$G69*BJ69</f>
        <v>0</v>
      </c>
      <c r="BM69" s="22"/>
      <c r="BN69" s="22">
        <f t="shared" si="269"/>
        <v>0</v>
      </c>
      <c r="BO69" s="22">
        <f t="shared" ref="BO69:BO71" si="573">$G69*BM69</f>
        <v>0</v>
      </c>
      <c r="BP69" s="22"/>
      <c r="BQ69" s="22">
        <f t="shared" si="271"/>
        <v>0</v>
      </c>
      <c r="BR69" s="22">
        <f t="shared" ref="BR69:BR71" si="574">$G69*BP69</f>
        <v>0</v>
      </c>
      <c r="BS69" s="22"/>
      <c r="BT69" s="22">
        <f t="shared" si="273"/>
        <v>0</v>
      </c>
      <c r="BU69" s="22">
        <f t="shared" ref="BU69:BU71" si="575">$G69*BS69</f>
        <v>0</v>
      </c>
      <c r="BV69" s="22"/>
      <c r="BW69" s="22">
        <f t="shared" si="275"/>
        <v>0</v>
      </c>
      <c r="BX69" s="22">
        <f t="shared" ref="BX69:BX71" si="576">$G69*BV69</f>
        <v>0</v>
      </c>
      <c r="BY69" s="22"/>
      <c r="BZ69" s="22">
        <f t="shared" si="277"/>
        <v>0</v>
      </c>
      <c r="CA69" s="22">
        <f t="shared" ref="CA69:CA71" si="577">$G69*BY69</f>
        <v>0</v>
      </c>
      <c r="CB69" s="22"/>
      <c r="CC69" s="22">
        <f t="shared" si="279"/>
        <v>0</v>
      </c>
      <c r="CD69" s="22">
        <f t="shared" ref="CD69:CD71" si="578">$G69*CB69</f>
        <v>0</v>
      </c>
      <c r="CE69" s="22"/>
      <c r="CF69" s="22">
        <f t="shared" si="281"/>
        <v>0</v>
      </c>
      <c r="CG69" s="22">
        <f t="shared" ref="CG69:CG71" si="579">$G69*CE69</f>
        <v>0</v>
      </c>
      <c r="CH69" s="22"/>
      <c r="CI69" s="22">
        <f t="shared" si="283"/>
        <v>0</v>
      </c>
      <c r="CJ69" s="22">
        <f t="shared" ref="CJ69:CJ71" si="580">$G69*CH69</f>
        <v>0</v>
      </c>
      <c r="CK69" s="22"/>
      <c r="CL69" s="22">
        <f t="shared" si="285"/>
        <v>0</v>
      </c>
      <c r="CM69" s="22">
        <f t="shared" ref="CM69:CM71" si="581">$G69*CK69</f>
        <v>0</v>
      </c>
      <c r="CN69" s="22"/>
      <c r="CO69" s="22">
        <f t="shared" si="287"/>
        <v>0</v>
      </c>
      <c r="CP69" s="22">
        <f t="shared" ref="CP69:CP71" si="582">$G69*CN69</f>
        <v>0</v>
      </c>
      <c r="CQ69" s="22"/>
      <c r="CR69" s="22">
        <f t="shared" si="289"/>
        <v>0</v>
      </c>
      <c r="CS69" s="22">
        <f t="shared" ref="CS69:CS71" si="583">$G69*CQ69</f>
        <v>0</v>
      </c>
      <c r="CT69" s="22"/>
      <c r="CU69" s="22">
        <f t="shared" si="291"/>
        <v>0</v>
      </c>
      <c r="CV69" s="22">
        <f t="shared" ref="CV69:CV71" si="584">$G69*CT69</f>
        <v>0</v>
      </c>
      <c r="CW69" s="22"/>
      <c r="CX69" s="22">
        <f t="shared" si="293"/>
        <v>0</v>
      </c>
      <c r="CY69" s="22">
        <f t="shared" ref="CY69:CY71" si="585">$G69*CW69</f>
        <v>0</v>
      </c>
      <c r="CZ69" s="22"/>
      <c r="DA69" s="22">
        <f t="shared" si="295"/>
        <v>0</v>
      </c>
      <c r="DB69" s="22">
        <f t="shared" ref="DB69:DB71" si="586">$G69*CZ69</f>
        <v>0</v>
      </c>
      <c r="DC69" s="22"/>
      <c r="DD69" s="22">
        <f t="shared" si="297"/>
        <v>0</v>
      </c>
      <c r="DE69" s="22">
        <f t="shared" ref="DE69:DE71" si="587">$G69*DC69</f>
        <v>0</v>
      </c>
      <c r="DF69" s="22">
        <v>2</v>
      </c>
      <c r="DG69" s="22">
        <f t="shared" si="299"/>
        <v>2</v>
      </c>
      <c r="DH69" s="22">
        <f t="shared" ref="DH69:DH71" si="588">$G69*DF69</f>
        <v>0</v>
      </c>
      <c r="DI69" s="22"/>
      <c r="DJ69" s="22">
        <f t="shared" si="301"/>
        <v>0</v>
      </c>
      <c r="DK69" s="22">
        <f t="shared" ref="DK69:DK71" si="589">$G69*DI69</f>
        <v>0</v>
      </c>
      <c r="DL69" s="22"/>
      <c r="DM69" s="22">
        <f t="shared" si="303"/>
        <v>0</v>
      </c>
      <c r="DN69" s="22">
        <f t="shared" ref="DN69:DN71" si="590">$G69*DL69</f>
        <v>0</v>
      </c>
      <c r="DO69" s="22"/>
      <c r="DP69" s="22">
        <f t="shared" si="305"/>
        <v>0</v>
      </c>
      <c r="DQ69" s="22">
        <f t="shared" ref="DQ69:DQ71" si="591">$G69*DO69</f>
        <v>0</v>
      </c>
      <c r="DR69" s="22"/>
      <c r="DS69" s="22">
        <f t="shared" si="307"/>
        <v>0</v>
      </c>
      <c r="DT69" s="22">
        <f t="shared" ref="DT69:DT71" si="592">$G69*DR69</f>
        <v>0</v>
      </c>
      <c r="DU69" s="22"/>
      <c r="DV69" s="22">
        <f t="shared" si="309"/>
        <v>0</v>
      </c>
      <c r="DW69" s="22">
        <f t="shared" ref="DW69:DW71" si="593">$G69*DU69</f>
        <v>0</v>
      </c>
      <c r="DX69" s="22"/>
      <c r="DY69" s="22">
        <f t="shared" si="311"/>
        <v>0</v>
      </c>
      <c r="DZ69" s="22">
        <f t="shared" ref="DZ69:DZ71" si="594">$G69*DX69</f>
        <v>0</v>
      </c>
      <c r="EA69" s="22"/>
      <c r="EB69" s="22">
        <f t="shared" si="313"/>
        <v>0</v>
      </c>
      <c r="EC69" s="22">
        <f t="shared" ref="EC69:EC71" si="595">$G69*EA69</f>
        <v>0</v>
      </c>
      <c r="ED69" s="22"/>
      <c r="EE69" s="22">
        <f t="shared" si="315"/>
        <v>0</v>
      </c>
      <c r="EF69" s="22">
        <f t="shared" ref="EF69:EF71" si="596">$G69*ED69</f>
        <v>0</v>
      </c>
      <c r="EG69" s="22"/>
      <c r="EH69" s="22">
        <f t="shared" si="317"/>
        <v>0</v>
      </c>
      <c r="EI69" s="22">
        <f t="shared" ref="EI69:EI71" si="597">$G69*EG69</f>
        <v>0</v>
      </c>
      <c r="EJ69" s="22"/>
      <c r="EK69" s="22">
        <f t="shared" si="319"/>
        <v>0</v>
      </c>
      <c r="EL69" s="22">
        <f t="shared" ref="EL69:EL71" si="598">$G69*EJ69</f>
        <v>0</v>
      </c>
      <c r="EM69" s="22"/>
      <c r="EN69" s="22">
        <f t="shared" si="321"/>
        <v>0</v>
      </c>
      <c r="EO69" s="22">
        <f t="shared" ref="EO69:EO71" si="599">$G69*EM69</f>
        <v>0</v>
      </c>
    </row>
    <row r="70" spans="1:145">
      <c r="A70" s="15">
        <v>93</v>
      </c>
      <c r="B70" s="15" t="s">
        <v>571</v>
      </c>
      <c r="C70" s="16" t="s">
        <v>397</v>
      </c>
      <c r="D70" s="15" t="s">
        <v>572</v>
      </c>
      <c r="E70" s="15" t="s">
        <v>399</v>
      </c>
      <c r="F70" s="19">
        <f t="shared" si="415"/>
        <v>1</v>
      </c>
      <c r="G70" s="20"/>
      <c r="H70" s="21"/>
      <c r="I70" s="22">
        <f t="shared" ref="I70:I73" si="600">H70*$B$79</f>
        <v>0</v>
      </c>
      <c r="J70" s="22">
        <f t="shared" si="554"/>
        <v>0</v>
      </c>
      <c r="K70" s="22"/>
      <c r="L70" s="22">
        <f t="shared" ref="L70:L73" si="601">K70*$B$80</f>
        <v>0</v>
      </c>
      <c r="M70" s="22">
        <f t="shared" si="555"/>
        <v>0</v>
      </c>
      <c r="N70" s="22"/>
      <c r="O70" s="22">
        <f t="shared" ref="O70:O73" si="602">N70*$B$81</f>
        <v>0</v>
      </c>
      <c r="P70" s="22">
        <f t="shared" si="556"/>
        <v>0</v>
      </c>
      <c r="Q70" s="22"/>
      <c r="R70" s="22">
        <f t="shared" ref="R70:R73" si="603">Q70*$B$82</f>
        <v>0</v>
      </c>
      <c r="S70" s="22">
        <f t="shared" si="557"/>
        <v>0</v>
      </c>
      <c r="T70" s="22"/>
      <c r="U70" s="22">
        <f t="shared" ref="U70:U73" si="604">T70*$B$83</f>
        <v>0</v>
      </c>
      <c r="V70" s="22">
        <f t="shared" si="558"/>
        <v>0</v>
      </c>
      <c r="W70" s="22"/>
      <c r="X70" s="22">
        <f t="shared" ref="X70:X73" si="605">W70*$B$84</f>
        <v>0</v>
      </c>
      <c r="Y70" s="22">
        <f t="shared" si="559"/>
        <v>0</v>
      </c>
      <c r="Z70" s="22"/>
      <c r="AA70" s="22">
        <f t="shared" ref="AA70:AA73" si="606">Z70*$B$85</f>
        <v>0</v>
      </c>
      <c r="AB70" s="22">
        <f t="shared" si="560"/>
        <v>0</v>
      </c>
      <c r="AC70" s="22"/>
      <c r="AD70" s="22">
        <f t="shared" ref="AD70:AD73" si="607">AC70*$B$86</f>
        <v>0</v>
      </c>
      <c r="AE70" s="22">
        <f t="shared" si="561"/>
        <v>0</v>
      </c>
      <c r="AF70" s="22"/>
      <c r="AG70" s="22">
        <f t="shared" ref="AG70:AG73" si="608">AF70*$B$87</f>
        <v>0</v>
      </c>
      <c r="AH70" s="22">
        <f t="shared" si="562"/>
        <v>0</v>
      </c>
      <c r="AI70" s="22"/>
      <c r="AJ70" s="22">
        <f t="shared" ref="AJ70:AJ73" si="609">AI70*$B$88</f>
        <v>0</v>
      </c>
      <c r="AK70" s="22">
        <f t="shared" si="563"/>
        <v>0</v>
      </c>
      <c r="AL70" s="22"/>
      <c r="AM70" s="22">
        <f t="shared" ref="AM70:AM73" si="610">AL70*$B$89</f>
        <v>0</v>
      </c>
      <c r="AN70" s="22">
        <f t="shared" si="564"/>
        <v>0</v>
      </c>
      <c r="AO70" s="22"/>
      <c r="AP70" s="22">
        <f t="shared" ref="AP70:AP73" si="611">AO70*$B$90</f>
        <v>0</v>
      </c>
      <c r="AQ70" s="22">
        <f t="shared" si="565"/>
        <v>0</v>
      </c>
      <c r="AR70" s="22"/>
      <c r="AS70" s="22">
        <f t="shared" ref="AS70:AS73" si="612">AR70*$B$91</f>
        <v>0</v>
      </c>
      <c r="AT70" s="22">
        <f t="shared" si="566"/>
        <v>0</v>
      </c>
      <c r="AU70" s="22"/>
      <c r="AV70" s="22">
        <f t="shared" ref="AV70:AV73" si="613">AU70*$B$92</f>
        <v>0</v>
      </c>
      <c r="AW70" s="22">
        <f t="shared" si="567"/>
        <v>0</v>
      </c>
      <c r="AX70" s="22"/>
      <c r="AY70" s="22">
        <f t="shared" ref="AY70:AY73" si="614">AX70*$B$93</f>
        <v>0</v>
      </c>
      <c r="AZ70" s="22">
        <f t="shared" si="568"/>
        <v>0</v>
      </c>
      <c r="BA70" s="22"/>
      <c r="BB70" s="22">
        <f t="shared" ref="BB70:BB73" si="615">BA70*$B$94</f>
        <v>0</v>
      </c>
      <c r="BC70" s="22">
        <f t="shared" si="569"/>
        <v>0</v>
      </c>
      <c r="BD70" s="22"/>
      <c r="BE70" s="22">
        <f t="shared" ref="BE70:BE73" si="616">BD70*$B$95</f>
        <v>0</v>
      </c>
      <c r="BF70" s="22">
        <f t="shared" si="570"/>
        <v>0</v>
      </c>
      <c r="BG70" s="22"/>
      <c r="BH70" s="22">
        <f t="shared" ref="BH70:BH73" si="617">BG70*$B$96</f>
        <v>0</v>
      </c>
      <c r="BI70" s="22">
        <f t="shared" si="571"/>
        <v>0</v>
      </c>
      <c r="BJ70" s="22"/>
      <c r="BK70" s="22">
        <f t="shared" ref="BK70:BK73" si="618">BJ70*$B$97</f>
        <v>0</v>
      </c>
      <c r="BL70" s="22">
        <f t="shared" si="572"/>
        <v>0</v>
      </c>
      <c r="BM70" s="22"/>
      <c r="BN70" s="22">
        <f t="shared" ref="BN70:BN73" si="619">BM70*$B$98</f>
        <v>0</v>
      </c>
      <c r="BO70" s="22">
        <f t="shared" si="573"/>
        <v>0</v>
      </c>
      <c r="BP70" s="22"/>
      <c r="BQ70" s="22">
        <f t="shared" ref="BQ70:BQ73" si="620">BP70*$B$99</f>
        <v>0</v>
      </c>
      <c r="BR70" s="22">
        <f t="shared" si="574"/>
        <v>0</v>
      </c>
      <c r="BS70" s="22"/>
      <c r="BT70" s="22">
        <f t="shared" ref="BT70:BT73" si="621">BS70*$B$100</f>
        <v>0</v>
      </c>
      <c r="BU70" s="22">
        <f t="shared" si="575"/>
        <v>0</v>
      </c>
      <c r="BV70" s="22"/>
      <c r="BW70" s="22">
        <f t="shared" ref="BW70:BW73" si="622">BV70*$B$101</f>
        <v>0</v>
      </c>
      <c r="BX70" s="22">
        <f t="shared" si="576"/>
        <v>0</v>
      </c>
      <c r="BY70" s="22"/>
      <c r="BZ70" s="22">
        <f t="shared" ref="BZ70:BZ73" si="623">BY70*$B$102</f>
        <v>0</v>
      </c>
      <c r="CA70" s="22">
        <f t="shared" si="577"/>
        <v>0</v>
      </c>
      <c r="CB70" s="22"/>
      <c r="CC70" s="22">
        <f t="shared" ref="CC70:CC73" si="624">CB70*$B$103</f>
        <v>0</v>
      </c>
      <c r="CD70" s="22">
        <f t="shared" si="578"/>
        <v>0</v>
      </c>
      <c r="CE70" s="22"/>
      <c r="CF70" s="22">
        <f t="shared" ref="CF70:CF73" si="625">CE70*$B$104</f>
        <v>0</v>
      </c>
      <c r="CG70" s="22">
        <f t="shared" si="579"/>
        <v>0</v>
      </c>
      <c r="CH70" s="22"/>
      <c r="CI70" s="22">
        <f t="shared" ref="CI70:CI73" si="626">CH70*$B$105</f>
        <v>0</v>
      </c>
      <c r="CJ70" s="22">
        <f t="shared" si="580"/>
        <v>0</v>
      </c>
      <c r="CK70" s="22"/>
      <c r="CL70" s="22">
        <f t="shared" ref="CL70:CL73" si="627">CK70*$B$106</f>
        <v>0</v>
      </c>
      <c r="CM70" s="22">
        <f t="shared" si="581"/>
        <v>0</v>
      </c>
      <c r="CN70" s="22"/>
      <c r="CO70" s="22">
        <f t="shared" ref="CO70:CO73" si="628">CN70*$B$107</f>
        <v>0</v>
      </c>
      <c r="CP70" s="22">
        <f t="shared" si="582"/>
        <v>0</v>
      </c>
      <c r="CQ70" s="22"/>
      <c r="CR70" s="22">
        <f t="shared" ref="CR70:CR73" si="629">CQ70*$B$108</f>
        <v>0</v>
      </c>
      <c r="CS70" s="22">
        <f t="shared" si="583"/>
        <v>0</v>
      </c>
      <c r="CT70" s="22"/>
      <c r="CU70" s="22">
        <f t="shared" ref="CU70:CU73" si="630">CT70*$B$109</f>
        <v>0</v>
      </c>
      <c r="CV70" s="22">
        <f t="shared" si="584"/>
        <v>0</v>
      </c>
      <c r="CW70" s="22"/>
      <c r="CX70" s="22">
        <f t="shared" ref="CX70:CX73" si="631">CW70*$B$110</f>
        <v>0</v>
      </c>
      <c r="CY70" s="22">
        <f t="shared" si="585"/>
        <v>0</v>
      </c>
      <c r="CZ70" s="22"/>
      <c r="DA70" s="22">
        <f t="shared" ref="DA70:DA73" si="632">CZ70*$B$111</f>
        <v>0</v>
      </c>
      <c r="DB70" s="22">
        <f t="shared" si="586"/>
        <v>0</v>
      </c>
      <c r="DC70" s="22"/>
      <c r="DD70" s="22">
        <f t="shared" ref="DD70:DD73" si="633">DC70*$B$112</f>
        <v>0</v>
      </c>
      <c r="DE70" s="22">
        <f t="shared" si="587"/>
        <v>0</v>
      </c>
      <c r="DF70" s="22"/>
      <c r="DG70" s="22">
        <f t="shared" ref="DG70:DG73" si="634">DF70*$B$113</f>
        <v>0</v>
      </c>
      <c r="DH70" s="22">
        <f t="shared" si="588"/>
        <v>0</v>
      </c>
      <c r="DI70" s="22"/>
      <c r="DJ70" s="22">
        <f t="shared" ref="DJ70:DJ73" si="635">DI70*$B$114</f>
        <v>0</v>
      </c>
      <c r="DK70" s="22">
        <f t="shared" si="589"/>
        <v>0</v>
      </c>
      <c r="DL70" s="22"/>
      <c r="DM70" s="22">
        <f t="shared" ref="DM70:DM73" si="636">DL70*$B$115</f>
        <v>0</v>
      </c>
      <c r="DN70" s="22">
        <f t="shared" si="590"/>
        <v>0</v>
      </c>
      <c r="DO70" s="22"/>
      <c r="DP70" s="22">
        <f t="shared" ref="DP70:DP73" si="637">DO70*$B$116</f>
        <v>0</v>
      </c>
      <c r="DQ70" s="22">
        <f t="shared" si="591"/>
        <v>0</v>
      </c>
      <c r="DR70" s="22"/>
      <c r="DS70" s="22">
        <f t="shared" ref="DS70:DS73" si="638">DR70*$B$117</f>
        <v>0</v>
      </c>
      <c r="DT70" s="22">
        <f t="shared" si="592"/>
        <v>0</v>
      </c>
      <c r="DU70" s="22">
        <v>1</v>
      </c>
      <c r="DV70" s="22">
        <f t="shared" ref="DV70:DV73" si="639">DU70*$B$118</f>
        <v>1</v>
      </c>
      <c r="DW70" s="22">
        <f t="shared" si="593"/>
        <v>0</v>
      </c>
      <c r="DX70" s="22"/>
      <c r="DY70" s="22">
        <f t="shared" ref="DY70:DY73" si="640">DX70*$B$119</f>
        <v>0</v>
      </c>
      <c r="DZ70" s="22">
        <f t="shared" si="594"/>
        <v>0</v>
      </c>
      <c r="EA70" s="22"/>
      <c r="EB70" s="22">
        <f t="shared" ref="EB70:EB73" si="641">EA70*$B$120</f>
        <v>0</v>
      </c>
      <c r="EC70" s="22">
        <f t="shared" si="595"/>
        <v>0</v>
      </c>
      <c r="ED70" s="22"/>
      <c r="EE70" s="22">
        <f t="shared" ref="EE70:EE73" si="642">ED70*$B$121</f>
        <v>0</v>
      </c>
      <c r="EF70" s="22">
        <f t="shared" si="596"/>
        <v>0</v>
      </c>
      <c r="EG70" s="22"/>
      <c r="EH70" s="22">
        <f t="shared" ref="EH70:EH73" si="643">EG70*$B$122</f>
        <v>0</v>
      </c>
      <c r="EI70" s="22">
        <f t="shared" si="597"/>
        <v>0</v>
      </c>
      <c r="EJ70" s="22"/>
      <c r="EK70" s="22">
        <f t="shared" ref="EK70:EK73" si="644">EJ70*$B$123</f>
        <v>0</v>
      </c>
      <c r="EL70" s="22">
        <f t="shared" si="598"/>
        <v>0</v>
      </c>
      <c r="EM70" s="22"/>
      <c r="EN70" s="22">
        <f t="shared" ref="EN70:EN73" si="645">EM70*$B$124</f>
        <v>0</v>
      </c>
      <c r="EO70" s="22">
        <f t="shared" si="599"/>
        <v>0</v>
      </c>
    </row>
    <row r="71" spans="1:145">
      <c r="A71" s="15">
        <v>94</v>
      </c>
      <c r="B71" s="15" t="s">
        <v>484</v>
      </c>
      <c r="C71" s="16" t="s">
        <v>374</v>
      </c>
      <c r="D71" s="15" t="s">
        <v>573</v>
      </c>
      <c r="E71" s="15" t="s">
        <v>376</v>
      </c>
      <c r="F71" s="19">
        <f t="shared" si="415"/>
        <v>2</v>
      </c>
      <c r="G71" s="20"/>
      <c r="H71" s="21"/>
      <c r="I71" s="22">
        <f t="shared" si="600"/>
        <v>0</v>
      </c>
      <c r="J71" s="22">
        <f t="shared" si="554"/>
        <v>0</v>
      </c>
      <c r="K71" s="22"/>
      <c r="L71" s="22">
        <f t="shared" si="601"/>
        <v>0</v>
      </c>
      <c r="M71" s="22">
        <f t="shared" si="555"/>
        <v>0</v>
      </c>
      <c r="N71" s="22"/>
      <c r="O71" s="22">
        <f t="shared" si="602"/>
        <v>0</v>
      </c>
      <c r="P71" s="22">
        <f t="shared" si="556"/>
        <v>0</v>
      </c>
      <c r="Q71" s="22"/>
      <c r="R71" s="22">
        <f t="shared" si="603"/>
        <v>0</v>
      </c>
      <c r="S71" s="22">
        <f t="shared" si="557"/>
        <v>0</v>
      </c>
      <c r="T71" s="22"/>
      <c r="U71" s="22">
        <f t="shared" si="604"/>
        <v>0</v>
      </c>
      <c r="V71" s="22">
        <f t="shared" si="558"/>
        <v>0</v>
      </c>
      <c r="W71" s="22"/>
      <c r="X71" s="22">
        <f t="shared" si="605"/>
        <v>0</v>
      </c>
      <c r="Y71" s="22">
        <f t="shared" si="559"/>
        <v>0</v>
      </c>
      <c r="Z71" s="22"/>
      <c r="AA71" s="22">
        <f t="shared" si="606"/>
        <v>0</v>
      </c>
      <c r="AB71" s="22">
        <f t="shared" si="560"/>
        <v>0</v>
      </c>
      <c r="AC71" s="22"/>
      <c r="AD71" s="22">
        <f t="shared" si="607"/>
        <v>0</v>
      </c>
      <c r="AE71" s="22">
        <f t="shared" si="561"/>
        <v>0</v>
      </c>
      <c r="AF71" s="22"/>
      <c r="AG71" s="22">
        <f t="shared" si="608"/>
        <v>0</v>
      </c>
      <c r="AH71" s="22">
        <f t="shared" si="562"/>
        <v>0</v>
      </c>
      <c r="AI71" s="22"/>
      <c r="AJ71" s="22">
        <f t="shared" si="609"/>
        <v>0</v>
      </c>
      <c r="AK71" s="22">
        <f t="shared" si="563"/>
        <v>0</v>
      </c>
      <c r="AL71" s="22"/>
      <c r="AM71" s="22">
        <f t="shared" si="610"/>
        <v>0</v>
      </c>
      <c r="AN71" s="22">
        <f t="shared" si="564"/>
        <v>0</v>
      </c>
      <c r="AO71" s="22"/>
      <c r="AP71" s="22">
        <f t="shared" si="611"/>
        <v>0</v>
      </c>
      <c r="AQ71" s="22">
        <f t="shared" si="565"/>
        <v>0</v>
      </c>
      <c r="AR71" s="22"/>
      <c r="AS71" s="22">
        <f t="shared" si="612"/>
        <v>0</v>
      </c>
      <c r="AT71" s="22">
        <f t="shared" si="566"/>
        <v>0</v>
      </c>
      <c r="AU71" s="22"/>
      <c r="AV71" s="22">
        <f t="shared" si="613"/>
        <v>0</v>
      </c>
      <c r="AW71" s="22">
        <f t="shared" si="567"/>
        <v>0</v>
      </c>
      <c r="AX71" s="22"/>
      <c r="AY71" s="22">
        <f t="shared" si="614"/>
        <v>0</v>
      </c>
      <c r="AZ71" s="22">
        <f t="shared" si="568"/>
        <v>0</v>
      </c>
      <c r="BA71" s="22"/>
      <c r="BB71" s="22">
        <f t="shared" si="615"/>
        <v>0</v>
      </c>
      <c r="BC71" s="22">
        <f t="shared" si="569"/>
        <v>0</v>
      </c>
      <c r="BD71" s="22"/>
      <c r="BE71" s="22">
        <f t="shared" si="616"/>
        <v>0</v>
      </c>
      <c r="BF71" s="22">
        <f t="shared" si="570"/>
        <v>0</v>
      </c>
      <c r="BG71" s="22"/>
      <c r="BH71" s="22">
        <f t="shared" si="617"/>
        <v>0</v>
      </c>
      <c r="BI71" s="22">
        <f t="shared" si="571"/>
        <v>0</v>
      </c>
      <c r="BJ71" s="22"/>
      <c r="BK71" s="22">
        <f t="shared" si="618"/>
        <v>0</v>
      </c>
      <c r="BL71" s="22">
        <f t="shared" si="572"/>
        <v>0</v>
      </c>
      <c r="BM71" s="22"/>
      <c r="BN71" s="22">
        <f t="shared" si="619"/>
        <v>0</v>
      </c>
      <c r="BO71" s="22">
        <f t="shared" si="573"/>
        <v>0</v>
      </c>
      <c r="BP71" s="22"/>
      <c r="BQ71" s="22">
        <f t="shared" si="620"/>
        <v>0</v>
      </c>
      <c r="BR71" s="22">
        <f t="shared" si="574"/>
        <v>0</v>
      </c>
      <c r="BS71" s="22"/>
      <c r="BT71" s="22">
        <f t="shared" si="621"/>
        <v>0</v>
      </c>
      <c r="BU71" s="22">
        <f t="shared" si="575"/>
        <v>0</v>
      </c>
      <c r="BV71" s="22"/>
      <c r="BW71" s="22">
        <f t="shared" si="622"/>
        <v>0</v>
      </c>
      <c r="BX71" s="22">
        <f t="shared" si="576"/>
        <v>0</v>
      </c>
      <c r="BY71" s="22"/>
      <c r="BZ71" s="22">
        <f t="shared" si="623"/>
        <v>0</v>
      </c>
      <c r="CA71" s="22">
        <f t="shared" si="577"/>
        <v>0</v>
      </c>
      <c r="CB71" s="22"/>
      <c r="CC71" s="22">
        <f t="shared" si="624"/>
        <v>0</v>
      </c>
      <c r="CD71" s="22">
        <f t="shared" si="578"/>
        <v>0</v>
      </c>
      <c r="CE71" s="22"/>
      <c r="CF71" s="22">
        <f t="shared" si="625"/>
        <v>0</v>
      </c>
      <c r="CG71" s="22">
        <f t="shared" si="579"/>
        <v>0</v>
      </c>
      <c r="CH71" s="22"/>
      <c r="CI71" s="22">
        <f t="shared" si="626"/>
        <v>0</v>
      </c>
      <c r="CJ71" s="22">
        <f t="shared" si="580"/>
        <v>0</v>
      </c>
      <c r="CK71" s="22"/>
      <c r="CL71" s="22">
        <f t="shared" si="627"/>
        <v>0</v>
      </c>
      <c r="CM71" s="22">
        <f t="shared" si="581"/>
        <v>0</v>
      </c>
      <c r="CN71" s="22"/>
      <c r="CO71" s="22">
        <f t="shared" si="628"/>
        <v>0</v>
      </c>
      <c r="CP71" s="22">
        <f t="shared" si="582"/>
        <v>0</v>
      </c>
      <c r="CQ71" s="22"/>
      <c r="CR71" s="22">
        <f t="shared" si="629"/>
        <v>0</v>
      </c>
      <c r="CS71" s="22">
        <f t="shared" si="583"/>
        <v>0</v>
      </c>
      <c r="CT71" s="22"/>
      <c r="CU71" s="22">
        <f t="shared" si="630"/>
        <v>0</v>
      </c>
      <c r="CV71" s="22">
        <f t="shared" si="584"/>
        <v>0</v>
      </c>
      <c r="CW71" s="22"/>
      <c r="CX71" s="22">
        <f t="shared" si="631"/>
        <v>0</v>
      </c>
      <c r="CY71" s="22">
        <f t="shared" si="585"/>
        <v>0</v>
      </c>
      <c r="CZ71" s="22"/>
      <c r="DA71" s="22">
        <f t="shared" si="632"/>
        <v>0</v>
      </c>
      <c r="DB71" s="22">
        <f t="shared" si="586"/>
        <v>0</v>
      </c>
      <c r="DC71" s="22"/>
      <c r="DD71" s="22">
        <f t="shared" si="633"/>
        <v>0</v>
      </c>
      <c r="DE71" s="22">
        <f t="shared" si="587"/>
        <v>0</v>
      </c>
      <c r="DF71" s="22"/>
      <c r="DG71" s="22">
        <f t="shared" si="634"/>
        <v>0</v>
      </c>
      <c r="DH71" s="22">
        <f t="shared" si="588"/>
        <v>0</v>
      </c>
      <c r="DI71" s="22"/>
      <c r="DJ71" s="22">
        <f t="shared" si="635"/>
        <v>0</v>
      </c>
      <c r="DK71" s="22">
        <f t="shared" si="589"/>
        <v>0</v>
      </c>
      <c r="DL71" s="22"/>
      <c r="DM71" s="22">
        <f t="shared" si="636"/>
        <v>0</v>
      </c>
      <c r="DN71" s="22">
        <f t="shared" si="590"/>
        <v>0</v>
      </c>
      <c r="DO71" s="22"/>
      <c r="DP71" s="22">
        <f t="shared" si="637"/>
        <v>0</v>
      </c>
      <c r="DQ71" s="22">
        <f t="shared" si="591"/>
        <v>0</v>
      </c>
      <c r="DR71" s="22"/>
      <c r="DS71" s="22">
        <f t="shared" si="638"/>
        <v>0</v>
      </c>
      <c r="DT71" s="22">
        <f t="shared" si="592"/>
        <v>0</v>
      </c>
      <c r="DU71" s="22">
        <v>2</v>
      </c>
      <c r="DV71" s="22">
        <f t="shared" si="639"/>
        <v>2</v>
      </c>
      <c r="DW71" s="22">
        <f t="shared" si="593"/>
        <v>0</v>
      </c>
      <c r="DX71" s="22"/>
      <c r="DY71" s="22">
        <f t="shared" si="640"/>
        <v>0</v>
      </c>
      <c r="DZ71" s="22">
        <f t="shared" si="594"/>
        <v>0</v>
      </c>
      <c r="EA71" s="22"/>
      <c r="EB71" s="22">
        <f t="shared" si="641"/>
        <v>0</v>
      </c>
      <c r="EC71" s="22">
        <f t="shared" si="595"/>
        <v>0</v>
      </c>
      <c r="ED71" s="22"/>
      <c r="EE71" s="22">
        <f t="shared" si="642"/>
        <v>0</v>
      </c>
      <c r="EF71" s="22">
        <f t="shared" si="596"/>
        <v>0</v>
      </c>
      <c r="EG71" s="22"/>
      <c r="EH71" s="22">
        <f t="shared" si="643"/>
        <v>0</v>
      </c>
      <c r="EI71" s="22">
        <f t="shared" si="597"/>
        <v>0</v>
      </c>
      <c r="EJ71" s="22"/>
      <c r="EK71" s="22">
        <f t="shared" si="644"/>
        <v>0</v>
      </c>
      <c r="EL71" s="22">
        <f t="shared" si="598"/>
        <v>0</v>
      </c>
      <c r="EM71" s="22"/>
      <c r="EN71" s="22">
        <f t="shared" si="645"/>
        <v>0</v>
      </c>
      <c r="EO71" s="22">
        <f t="shared" si="599"/>
        <v>0</v>
      </c>
    </row>
    <row r="72" spans="1:145">
      <c r="A72" s="15">
        <v>95</v>
      </c>
      <c r="B72" s="15" t="s">
        <v>574</v>
      </c>
      <c r="C72" s="16" t="s">
        <v>401</v>
      </c>
      <c r="D72" s="23" t="s">
        <v>575</v>
      </c>
      <c r="E72" s="23" t="s">
        <v>380</v>
      </c>
      <c r="F72" s="19">
        <f t="shared" si="415"/>
        <v>2</v>
      </c>
      <c r="G72" s="20"/>
      <c r="H72" s="21"/>
      <c r="I72" s="22">
        <f t="shared" si="600"/>
        <v>0</v>
      </c>
      <c r="J72" s="22">
        <f>$G72*H72</f>
        <v>0</v>
      </c>
      <c r="K72" s="22"/>
      <c r="L72" s="22">
        <f t="shared" si="601"/>
        <v>0</v>
      </c>
      <c r="M72" s="22">
        <f>$G72*K72</f>
        <v>0</v>
      </c>
      <c r="N72" s="22"/>
      <c r="O72" s="22">
        <f t="shared" si="602"/>
        <v>0</v>
      </c>
      <c r="P72" s="22">
        <f>$G72*N72</f>
        <v>0</v>
      </c>
      <c r="Q72" s="22"/>
      <c r="R72" s="22">
        <f t="shared" si="603"/>
        <v>0</v>
      </c>
      <c r="S72" s="22">
        <f>$G72*Q72</f>
        <v>0</v>
      </c>
      <c r="T72" s="22"/>
      <c r="U72" s="22">
        <f t="shared" si="604"/>
        <v>0</v>
      </c>
      <c r="V72" s="22">
        <f>$G72*T72</f>
        <v>0</v>
      </c>
      <c r="W72" s="22"/>
      <c r="X72" s="22">
        <f t="shared" si="605"/>
        <v>0</v>
      </c>
      <c r="Y72" s="22">
        <f>$G72*W72</f>
        <v>0</v>
      </c>
      <c r="Z72" s="22"/>
      <c r="AA72" s="22">
        <f t="shared" si="606"/>
        <v>0</v>
      </c>
      <c r="AB72" s="22">
        <f>$G72*Z72</f>
        <v>0</v>
      </c>
      <c r="AC72" s="22"/>
      <c r="AD72" s="22">
        <f t="shared" si="607"/>
        <v>0</v>
      </c>
      <c r="AE72" s="22">
        <f>$G72*AC72</f>
        <v>0</v>
      </c>
      <c r="AF72" s="22"/>
      <c r="AG72" s="22">
        <f t="shared" si="608"/>
        <v>0</v>
      </c>
      <c r="AH72" s="22">
        <f>$G72*AF72</f>
        <v>0</v>
      </c>
      <c r="AI72" s="22"/>
      <c r="AJ72" s="22">
        <f t="shared" si="609"/>
        <v>0</v>
      </c>
      <c r="AK72" s="22">
        <f>$G72*AI72</f>
        <v>0</v>
      </c>
      <c r="AL72" s="22"/>
      <c r="AM72" s="22">
        <f t="shared" si="610"/>
        <v>0</v>
      </c>
      <c r="AN72" s="22">
        <f>$G72*AL72</f>
        <v>0</v>
      </c>
      <c r="AO72" s="22"/>
      <c r="AP72" s="22">
        <f t="shared" si="611"/>
        <v>0</v>
      </c>
      <c r="AQ72" s="22">
        <f>$G72*AO72</f>
        <v>0</v>
      </c>
      <c r="AR72" s="22"/>
      <c r="AS72" s="22">
        <f t="shared" si="612"/>
        <v>0</v>
      </c>
      <c r="AT72" s="22">
        <f>$G72*AR72</f>
        <v>0</v>
      </c>
      <c r="AU72" s="22"/>
      <c r="AV72" s="22">
        <f t="shared" si="613"/>
        <v>0</v>
      </c>
      <c r="AW72" s="22">
        <f>$G72*AU72</f>
        <v>0</v>
      </c>
      <c r="AX72" s="22"/>
      <c r="AY72" s="22">
        <f t="shared" si="614"/>
        <v>0</v>
      </c>
      <c r="AZ72" s="22">
        <f>$G72*AX72</f>
        <v>0</v>
      </c>
      <c r="BA72" s="22"/>
      <c r="BB72" s="22">
        <f t="shared" si="615"/>
        <v>0</v>
      </c>
      <c r="BC72" s="22">
        <f>$G72*BA72</f>
        <v>0</v>
      </c>
      <c r="BD72" s="22"/>
      <c r="BE72" s="22">
        <f t="shared" si="616"/>
        <v>0</v>
      </c>
      <c r="BF72" s="22">
        <f>$G72*BD72</f>
        <v>0</v>
      </c>
      <c r="BG72" s="22"/>
      <c r="BH72" s="22">
        <f t="shared" si="617"/>
        <v>0</v>
      </c>
      <c r="BI72" s="22">
        <f>$G72*BG72</f>
        <v>0</v>
      </c>
      <c r="BJ72" s="22"/>
      <c r="BK72" s="22">
        <f t="shared" si="618"/>
        <v>0</v>
      </c>
      <c r="BL72" s="22">
        <f>$G72*BJ72</f>
        <v>0</v>
      </c>
      <c r="BM72" s="22"/>
      <c r="BN72" s="22">
        <f t="shared" si="619"/>
        <v>0</v>
      </c>
      <c r="BO72" s="22">
        <f>$G72*BM72</f>
        <v>0</v>
      </c>
      <c r="BP72" s="22"/>
      <c r="BQ72" s="22">
        <f t="shared" si="620"/>
        <v>0</v>
      </c>
      <c r="BR72" s="22">
        <f>$G72*BP72</f>
        <v>0</v>
      </c>
      <c r="BS72" s="22"/>
      <c r="BT72" s="22">
        <f t="shared" si="621"/>
        <v>0</v>
      </c>
      <c r="BU72" s="22">
        <f>$G72*BS72</f>
        <v>0</v>
      </c>
      <c r="BV72" s="22"/>
      <c r="BW72" s="22">
        <f t="shared" si="622"/>
        <v>0</v>
      </c>
      <c r="BX72" s="22">
        <f>$G72*BV72</f>
        <v>0</v>
      </c>
      <c r="BY72" s="22"/>
      <c r="BZ72" s="22">
        <f t="shared" si="623"/>
        <v>0</v>
      </c>
      <c r="CA72" s="22">
        <f>$G72*BY72</f>
        <v>0</v>
      </c>
      <c r="CB72" s="22"/>
      <c r="CC72" s="22">
        <f t="shared" si="624"/>
        <v>0</v>
      </c>
      <c r="CD72" s="22">
        <f>$G72*CB72</f>
        <v>0</v>
      </c>
      <c r="CE72" s="22"/>
      <c r="CF72" s="22">
        <f t="shared" si="625"/>
        <v>0</v>
      </c>
      <c r="CG72" s="22">
        <f>$G72*CE72</f>
        <v>0</v>
      </c>
      <c r="CH72" s="22"/>
      <c r="CI72" s="22">
        <f t="shared" si="626"/>
        <v>0</v>
      </c>
      <c r="CJ72" s="22">
        <f>$G72*CH72</f>
        <v>0</v>
      </c>
      <c r="CK72" s="22"/>
      <c r="CL72" s="22">
        <f t="shared" si="627"/>
        <v>0</v>
      </c>
      <c r="CM72" s="22">
        <f>$G72*CK72</f>
        <v>0</v>
      </c>
      <c r="CN72" s="22"/>
      <c r="CO72" s="22">
        <f t="shared" si="628"/>
        <v>0</v>
      </c>
      <c r="CP72" s="22">
        <f>$G72*CN72</f>
        <v>0</v>
      </c>
      <c r="CQ72" s="22"/>
      <c r="CR72" s="22">
        <f t="shared" si="629"/>
        <v>0</v>
      </c>
      <c r="CS72" s="22">
        <f>$G72*CQ72</f>
        <v>0</v>
      </c>
      <c r="CT72" s="22"/>
      <c r="CU72" s="22">
        <f t="shared" si="630"/>
        <v>0</v>
      </c>
      <c r="CV72" s="22">
        <f>$G72*CT72</f>
        <v>0</v>
      </c>
      <c r="CW72" s="22"/>
      <c r="CX72" s="22">
        <f t="shared" si="631"/>
        <v>0</v>
      </c>
      <c r="CY72" s="22">
        <f>$G72*CW72</f>
        <v>0</v>
      </c>
      <c r="CZ72" s="22"/>
      <c r="DA72" s="22">
        <f t="shared" si="632"/>
        <v>0</v>
      </c>
      <c r="DB72" s="22">
        <f>$G72*CZ72</f>
        <v>0</v>
      </c>
      <c r="DC72" s="22"/>
      <c r="DD72" s="22">
        <f t="shared" si="633"/>
        <v>0</v>
      </c>
      <c r="DE72" s="22">
        <f>$G72*DC72</f>
        <v>0</v>
      </c>
      <c r="DF72" s="22"/>
      <c r="DG72" s="22">
        <f t="shared" si="634"/>
        <v>0</v>
      </c>
      <c r="DH72" s="22">
        <f>$G72*DF72</f>
        <v>0</v>
      </c>
      <c r="DI72" s="22"/>
      <c r="DJ72" s="22">
        <f t="shared" si="635"/>
        <v>0</v>
      </c>
      <c r="DK72" s="22">
        <f>$G72*DI72</f>
        <v>0</v>
      </c>
      <c r="DL72" s="22"/>
      <c r="DM72" s="22">
        <f t="shared" si="636"/>
        <v>0</v>
      </c>
      <c r="DN72" s="22">
        <f>$G72*DL72</f>
        <v>0</v>
      </c>
      <c r="DO72" s="22"/>
      <c r="DP72" s="22">
        <f t="shared" si="637"/>
        <v>0</v>
      </c>
      <c r="DQ72" s="22">
        <f>$G72*DO72</f>
        <v>0</v>
      </c>
      <c r="DR72" s="22"/>
      <c r="DS72" s="22">
        <f t="shared" si="638"/>
        <v>0</v>
      </c>
      <c r="DT72" s="22">
        <f>$G72*DR72</f>
        <v>0</v>
      </c>
      <c r="DU72" s="22"/>
      <c r="DV72" s="22">
        <f t="shared" si="639"/>
        <v>0</v>
      </c>
      <c r="DW72" s="22">
        <f>$G72*DU72</f>
        <v>0</v>
      </c>
      <c r="DX72" s="22">
        <v>2</v>
      </c>
      <c r="DY72" s="22">
        <f t="shared" si="640"/>
        <v>2</v>
      </c>
      <c r="DZ72" s="22">
        <f>$G72*DX72</f>
        <v>0</v>
      </c>
      <c r="EA72" s="22"/>
      <c r="EB72" s="22">
        <f t="shared" si="641"/>
        <v>0</v>
      </c>
      <c r="EC72" s="22">
        <f>$G72*EA72</f>
        <v>0</v>
      </c>
      <c r="ED72" s="22"/>
      <c r="EE72" s="22">
        <f t="shared" si="642"/>
        <v>0</v>
      </c>
      <c r="EF72" s="22">
        <f>$G72*ED72</f>
        <v>0</v>
      </c>
      <c r="EG72" s="22"/>
      <c r="EH72" s="22">
        <f t="shared" si="643"/>
        <v>0</v>
      </c>
      <c r="EI72" s="22">
        <f>$G72*EG72</f>
        <v>0</v>
      </c>
      <c r="EJ72" s="22"/>
      <c r="EK72" s="22">
        <f t="shared" si="644"/>
        <v>0</v>
      </c>
      <c r="EL72" s="22">
        <f>$G72*EJ72</f>
        <v>0</v>
      </c>
      <c r="EM72" s="22"/>
      <c r="EN72" s="22">
        <f t="shared" si="645"/>
        <v>0</v>
      </c>
      <c r="EO72" s="22">
        <f>$G72*EM72</f>
        <v>0</v>
      </c>
    </row>
    <row r="73" spans="1:145">
      <c r="A73" s="15">
        <v>96</v>
      </c>
      <c r="B73" s="15" t="s">
        <v>576</v>
      </c>
      <c r="C73" s="16" t="s">
        <v>414</v>
      </c>
      <c r="D73" s="23" t="s">
        <v>577</v>
      </c>
      <c r="E73" s="23" t="s">
        <v>416</v>
      </c>
      <c r="F73" s="19">
        <f t="shared" si="415"/>
        <v>3</v>
      </c>
      <c r="G73" s="20"/>
      <c r="H73" s="21"/>
      <c r="I73" s="22">
        <f t="shared" si="600"/>
        <v>0</v>
      </c>
      <c r="J73" s="22">
        <f t="shared" ref="J73" si="646">$G73*H73</f>
        <v>0</v>
      </c>
      <c r="K73" s="22"/>
      <c r="L73" s="22">
        <f t="shared" si="601"/>
        <v>0</v>
      </c>
      <c r="M73" s="22">
        <f t="shared" ref="M73" si="647">$G73*K73</f>
        <v>0</v>
      </c>
      <c r="N73" s="22"/>
      <c r="O73" s="22">
        <f t="shared" si="602"/>
        <v>0</v>
      </c>
      <c r="P73" s="22">
        <f t="shared" ref="P73" si="648">$G73*N73</f>
        <v>0</v>
      </c>
      <c r="Q73" s="22"/>
      <c r="R73" s="22">
        <f t="shared" si="603"/>
        <v>0</v>
      </c>
      <c r="S73" s="22">
        <f t="shared" ref="S73" si="649">$G73*Q73</f>
        <v>0</v>
      </c>
      <c r="T73" s="22"/>
      <c r="U73" s="22">
        <f t="shared" si="604"/>
        <v>0</v>
      </c>
      <c r="V73" s="22">
        <f t="shared" ref="V73" si="650">$G73*T73</f>
        <v>0</v>
      </c>
      <c r="W73" s="22"/>
      <c r="X73" s="22">
        <f t="shared" si="605"/>
        <v>0</v>
      </c>
      <c r="Y73" s="22">
        <f t="shared" ref="Y73" si="651">$G73*W73</f>
        <v>0</v>
      </c>
      <c r="Z73" s="22"/>
      <c r="AA73" s="22">
        <f t="shared" si="606"/>
        <v>0</v>
      </c>
      <c r="AB73" s="22">
        <f t="shared" ref="AB73" si="652">$G73*Z73</f>
        <v>0</v>
      </c>
      <c r="AC73" s="22"/>
      <c r="AD73" s="22">
        <f t="shared" si="607"/>
        <v>0</v>
      </c>
      <c r="AE73" s="22">
        <f t="shared" ref="AE73" si="653">$G73*AC73</f>
        <v>0</v>
      </c>
      <c r="AF73" s="22"/>
      <c r="AG73" s="22">
        <f t="shared" si="608"/>
        <v>0</v>
      </c>
      <c r="AH73" s="22">
        <f t="shared" ref="AH73" si="654">$G73*AF73</f>
        <v>0</v>
      </c>
      <c r="AI73" s="22"/>
      <c r="AJ73" s="22">
        <f t="shared" si="609"/>
        <v>0</v>
      </c>
      <c r="AK73" s="22">
        <f t="shared" ref="AK73" si="655">$G73*AI73</f>
        <v>0</v>
      </c>
      <c r="AL73" s="22"/>
      <c r="AM73" s="22">
        <f t="shared" si="610"/>
        <v>0</v>
      </c>
      <c r="AN73" s="22">
        <f t="shared" ref="AN73" si="656">$G73*AL73</f>
        <v>0</v>
      </c>
      <c r="AO73" s="22"/>
      <c r="AP73" s="22">
        <f t="shared" si="611"/>
        <v>0</v>
      </c>
      <c r="AQ73" s="22">
        <f t="shared" ref="AQ73" si="657">$G73*AO73</f>
        <v>0</v>
      </c>
      <c r="AR73" s="22"/>
      <c r="AS73" s="22">
        <f t="shared" si="612"/>
        <v>0</v>
      </c>
      <c r="AT73" s="22">
        <f t="shared" ref="AT73" si="658">$G73*AR73</f>
        <v>0</v>
      </c>
      <c r="AU73" s="22"/>
      <c r="AV73" s="22">
        <f t="shared" si="613"/>
        <v>0</v>
      </c>
      <c r="AW73" s="22">
        <f t="shared" ref="AW73" si="659">$G73*AU73</f>
        <v>0</v>
      </c>
      <c r="AX73" s="22"/>
      <c r="AY73" s="22">
        <f t="shared" si="614"/>
        <v>0</v>
      </c>
      <c r="AZ73" s="22">
        <f t="shared" ref="AZ73" si="660">$G73*AX73</f>
        <v>0</v>
      </c>
      <c r="BA73" s="22"/>
      <c r="BB73" s="22">
        <f t="shared" si="615"/>
        <v>0</v>
      </c>
      <c r="BC73" s="22">
        <f t="shared" ref="BC73" si="661">$G73*BA73</f>
        <v>0</v>
      </c>
      <c r="BD73" s="22"/>
      <c r="BE73" s="22">
        <f t="shared" si="616"/>
        <v>0</v>
      </c>
      <c r="BF73" s="22">
        <f t="shared" ref="BF73" si="662">$G73*BD73</f>
        <v>0</v>
      </c>
      <c r="BG73" s="22"/>
      <c r="BH73" s="22">
        <f t="shared" si="617"/>
        <v>0</v>
      </c>
      <c r="BI73" s="22">
        <f t="shared" ref="BI73" si="663">$G73*BG73</f>
        <v>0</v>
      </c>
      <c r="BJ73" s="22"/>
      <c r="BK73" s="22">
        <f t="shared" si="618"/>
        <v>0</v>
      </c>
      <c r="BL73" s="22">
        <f t="shared" ref="BL73" si="664">$G73*BJ73</f>
        <v>0</v>
      </c>
      <c r="BM73" s="22"/>
      <c r="BN73" s="22">
        <f t="shared" si="619"/>
        <v>0</v>
      </c>
      <c r="BO73" s="22">
        <f t="shared" ref="BO73" si="665">$G73*BM73</f>
        <v>0</v>
      </c>
      <c r="BP73" s="22"/>
      <c r="BQ73" s="22">
        <f t="shared" si="620"/>
        <v>0</v>
      </c>
      <c r="BR73" s="22">
        <f t="shared" ref="BR73" si="666">$G73*BP73</f>
        <v>0</v>
      </c>
      <c r="BS73" s="22"/>
      <c r="BT73" s="22">
        <f t="shared" si="621"/>
        <v>0</v>
      </c>
      <c r="BU73" s="22">
        <f t="shared" ref="BU73" si="667">$G73*BS73</f>
        <v>0</v>
      </c>
      <c r="BV73" s="22"/>
      <c r="BW73" s="22">
        <f t="shared" si="622"/>
        <v>0</v>
      </c>
      <c r="BX73" s="22">
        <f t="shared" ref="BX73" si="668">$G73*BV73</f>
        <v>0</v>
      </c>
      <c r="BY73" s="22"/>
      <c r="BZ73" s="22">
        <f t="shared" si="623"/>
        <v>0</v>
      </c>
      <c r="CA73" s="22">
        <f t="shared" ref="CA73" si="669">$G73*BY73</f>
        <v>0</v>
      </c>
      <c r="CB73" s="22"/>
      <c r="CC73" s="22">
        <f t="shared" si="624"/>
        <v>0</v>
      </c>
      <c r="CD73" s="22">
        <f t="shared" ref="CD73" si="670">$G73*CB73</f>
        <v>0</v>
      </c>
      <c r="CE73" s="22"/>
      <c r="CF73" s="22">
        <f t="shared" si="625"/>
        <v>0</v>
      </c>
      <c r="CG73" s="22">
        <f t="shared" ref="CG73" si="671">$G73*CE73</f>
        <v>0</v>
      </c>
      <c r="CH73" s="22"/>
      <c r="CI73" s="22">
        <f t="shared" si="626"/>
        <v>0</v>
      </c>
      <c r="CJ73" s="22">
        <f t="shared" ref="CJ73" si="672">$G73*CH73</f>
        <v>0</v>
      </c>
      <c r="CK73" s="22"/>
      <c r="CL73" s="22">
        <f t="shared" si="627"/>
        <v>0</v>
      </c>
      <c r="CM73" s="22">
        <f t="shared" ref="CM73" si="673">$G73*CK73</f>
        <v>0</v>
      </c>
      <c r="CN73" s="22"/>
      <c r="CO73" s="22">
        <f t="shared" si="628"/>
        <v>0</v>
      </c>
      <c r="CP73" s="22">
        <f t="shared" ref="CP73" si="674">$G73*CN73</f>
        <v>0</v>
      </c>
      <c r="CQ73" s="22"/>
      <c r="CR73" s="22">
        <f t="shared" si="629"/>
        <v>0</v>
      </c>
      <c r="CS73" s="22">
        <f t="shared" ref="CS73" si="675">$G73*CQ73</f>
        <v>0</v>
      </c>
      <c r="CT73" s="22"/>
      <c r="CU73" s="22">
        <f t="shared" si="630"/>
        <v>0</v>
      </c>
      <c r="CV73" s="22">
        <f t="shared" ref="CV73" si="676">$G73*CT73</f>
        <v>0</v>
      </c>
      <c r="CW73" s="22"/>
      <c r="CX73" s="22">
        <f t="shared" si="631"/>
        <v>0</v>
      </c>
      <c r="CY73" s="22">
        <f t="shared" ref="CY73" si="677">$G73*CW73</f>
        <v>0</v>
      </c>
      <c r="CZ73" s="22"/>
      <c r="DA73" s="22">
        <f t="shared" si="632"/>
        <v>0</v>
      </c>
      <c r="DB73" s="22">
        <f t="shared" ref="DB73" si="678">$G73*CZ73</f>
        <v>0</v>
      </c>
      <c r="DC73" s="22"/>
      <c r="DD73" s="22">
        <f t="shared" si="633"/>
        <v>0</v>
      </c>
      <c r="DE73" s="22">
        <f t="shared" ref="DE73" si="679">$G73*DC73</f>
        <v>0</v>
      </c>
      <c r="DF73" s="22"/>
      <c r="DG73" s="22">
        <f t="shared" si="634"/>
        <v>0</v>
      </c>
      <c r="DH73" s="22">
        <f t="shared" ref="DH73" si="680">$G73*DF73</f>
        <v>0</v>
      </c>
      <c r="DI73" s="22"/>
      <c r="DJ73" s="22">
        <f t="shared" si="635"/>
        <v>0</v>
      </c>
      <c r="DK73" s="22">
        <f t="shared" ref="DK73" si="681">$G73*DI73</f>
        <v>0</v>
      </c>
      <c r="DL73" s="22"/>
      <c r="DM73" s="22">
        <f t="shared" si="636"/>
        <v>0</v>
      </c>
      <c r="DN73" s="22">
        <f t="shared" ref="DN73" si="682">$G73*DL73</f>
        <v>0</v>
      </c>
      <c r="DO73" s="22"/>
      <c r="DP73" s="22">
        <f t="shared" si="637"/>
        <v>0</v>
      </c>
      <c r="DQ73" s="22">
        <f t="shared" ref="DQ73" si="683">$G73*DO73</f>
        <v>0</v>
      </c>
      <c r="DR73" s="22"/>
      <c r="DS73" s="22">
        <f t="shared" si="638"/>
        <v>0</v>
      </c>
      <c r="DT73" s="22">
        <f t="shared" ref="DT73" si="684">$G73*DR73</f>
        <v>0</v>
      </c>
      <c r="DU73" s="22"/>
      <c r="DV73" s="22">
        <f t="shared" si="639"/>
        <v>0</v>
      </c>
      <c r="DW73" s="22">
        <f t="shared" ref="DW73" si="685">$G73*DU73</f>
        <v>0</v>
      </c>
      <c r="DX73" s="22"/>
      <c r="DY73" s="22">
        <f t="shared" si="640"/>
        <v>0</v>
      </c>
      <c r="DZ73" s="22">
        <f t="shared" ref="DZ73" si="686">$G73*DX73</f>
        <v>0</v>
      </c>
      <c r="EA73" s="22">
        <v>1</v>
      </c>
      <c r="EB73" s="22">
        <f t="shared" si="641"/>
        <v>3</v>
      </c>
      <c r="EC73" s="22">
        <f t="shared" ref="EC73" si="687">$G73*EA73</f>
        <v>0</v>
      </c>
      <c r="ED73" s="22"/>
      <c r="EE73" s="22">
        <f t="shared" si="642"/>
        <v>0</v>
      </c>
      <c r="EF73" s="22">
        <f t="shared" ref="EF73" si="688">$G73*ED73</f>
        <v>0</v>
      </c>
      <c r="EG73" s="22"/>
      <c r="EH73" s="22">
        <f t="shared" si="643"/>
        <v>0</v>
      </c>
      <c r="EI73" s="22">
        <f t="shared" ref="EI73" si="689">$G73*EG73</f>
        <v>0</v>
      </c>
      <c r="EJ73" s="22"/>
      <c r="EK73" s="22">
        <f t="shared" si="644"/>
        <v>0</v>
      </c>
      <c r="EL73" s="22">
        <f t="shared" ref="EL73" si="690">$G73*EJ73</f>
        <v>0</v>
      </c>
      <c r="EM73" s="22"/>
      <c r="EN73" s="22">
        <f t="shared" si="645"/>
        <v>0</v>
      </c>
      <c r="EO73" s="22">
        <f t="shared" ref="EO73" si="691">$G73*EM73</f>
        <v>0</v>
      </c>
    </row>
    <row r="74" spans="1:145">
      <c r="A74" s="15"/>
      <c r="B74" s="15"/>
      <c r="C74" s="15"/>
      <c r="D74" s="15"/>
      <c r="E74" s="23"/>
      <c r="F74" s="15"/>
      <c r="G74" s="26"/>
      <c r="H74" s="21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</row>
    <row r="75" spans="1:145">
      <c r="A75" s="27"/>
      <c r="B75" s="27"/>
      <c r="C75" s="27"/>
      <c r="D75" s="27"/>
      <c r="E75" s="27"/>
      <c r="F75" s="27"/>
      <c r="G75" s="27"/>
      <c r="H75" s="28"/>
      <c r="I75" s="29"/>
      <c r="J75" s="30">
        <f>SUM(J5:J74)</f>
        <v>0</v>
      </c>
      <c r="K75" s="30"/>
      <c r="L75" s="30"/>
      <c r="M75" s="30">
        <f>SUM(M5:M74)</f>
        <v>0</v>
      </c>
      <c r="N75" s="30"/>
      <c r="O75" s="30"/>
      <c r="P75" s="30">
        <f>SUM(P5:P74)</f>
        <v>0</v>
      </c>
      <c r="Q75" s="30"/>
      <c r="R75" s="30"/>
      <c r="S75" s="30">
        <f>SUM(S5:S74)</f>
        <v>0</v>
      </c>
      <c r="T75" s="30"/>
      <c r="U75" s="30"/>
      <c r="V75" s="30">
        <f>SUM(V5:V74)</f>
        <v>0</v>
      </c>
      <c r="W75" s="30"/>
      <c r="X75" s="30"/>
      <c r="Y75" s="30">
        <f>SUM(Y5:Y74)</f>
        <v>0</v>
      </c>
      <c r="Z75" s="30"/>
      <c r="AA75" s="30"/>
      <c r="AB75" s="30">
        <f>SUM(AB5:AB74)</f>
        <v>0</v>
      </c>
      <c r="AC75" s="30"/>
      <c r="AD75" s="30"/>
      <c r="AE75" s="30">
        <f>SUM(AE5:AE74)</f>
        <v>0</v>
      </c>
      <c r="AF75" s="30"/>
      <c r="AG75" s="30"/>
      <c r="AH75" s="30">
        <f>SUM(AH5:AH74)</f>
        <v>0</v>
      </c>
      <c r="AI75" s="30"/>
      <c r="AJ75" s="30"/>
      <c r="AK75" s="30">
        <f>SUM(AK5:AK74)</f>
        <v>0</v>
      </c>
      <c r="AL75" s="30"/>
      <c r="AM75" s="30"/>
      <c r="AN75" s="30">
        <f>SUM(AN5:AN74)</f>
        <v>0</v>
      </c>
      <c r="AO75" s="30"/>
      <c r="AP75" s="30"/>
      <c r="AQ75" s="30">
        <f>SUM(AQ5:AQ74)</f>
        <v>0</v>
      </c>
      <c r="AR75" s="30"/>
      <c r="AS75" s="30"/>
      <c r="AT75" s="30">
        <f>SUM(AT5:AT74)</f>
        <v>0</v>
      </c>
      <c r="AU75" s="30"/>
      <c r="AV75" s="30"/>
      <c r="AW75" s="30">
        <f>SUM(AW5:AW74)</f>
        <v>0</v>
      </c>
      <c r="AX75" s="30"/>
      <c r="AY75" s="30"/>
      <c r="AZ75" s="30">
        <f>SUM(AZ5:AZ74)</f>
        <v>0</v>
      </c>
      <c r="BA75" s="30"/>
      <c r="BB75" s="30"/>
      <c r="BC75" s="30">
        <f>SUM(BC5:BC74)</f>
        <v>0</v>
      </c>
      <c r="BD75" s="30"/>
      <c r="BE75" s="30"/>
      <c r="BF75" s="30">
        <f>SUM(BF5:BF74)</f>
        <v>0</v>
      </c>
      <c r="BG75" s="30"/>
      <c r="BH75" s="30"/>
      <c r="BI75" s="30">
        <f>SUM(BI5:BI74)</f>
        <v>0</v>
      </c>
      <c r="BJ75" s="30"/>
      <c r="BK75" s="30"/>
      <c r="BL75" s="30">
        <f>SUM(BL5:BL74)</f>
        <v>0</v>
      </c>
      <c r="BM75" s="30"/>
      <c r="BN75" s="30"/>
      <c r="BO75" s="30">
        <f>SUM(BO5:BO74)</f>
        <v>0</v>
      </c>
      <c r="BP75" s="30"/>
      <c r="BQ75" s="30"/>
      <c r="BR75" s="30">
        <f>SUM(BR5:BR74)</f>
        <v>0</v>
      </c>
      <c r="BS75" s="30"/>
      <c r="BT75" s="30"/>
      <c r="BU75" s="30">
        <f>SUM(BU5:BU74)</f>
        <v>0</v>
      </c>
      <c r="BV75" s="30"/>
      <c r="BW75" s="30"/>
      <c r="BX75" s="30">
        <f>SUM(BX5:BX74)</f>
        <v>0</v>
      </c>
      <c r="BY75" s="30"/>
      <c r="BZ75" s="30"/>
      <c r="CA75" s="30">
        <f>SUM(CA5:CA74)</f>
        <v>0</v>
      </c>
      <c r="CB75" s="30"/>
      <c r="CC75" s="30"/>
      <c r="CD75" s="30">
        <f>SUM(CD5:CD74)</f>
        <v>0</v>
      </c>
      <c r="CE75" s="30"/>
      <c r="CF75" s="30"/>
      <c r="CG75" s="30">
        <f>SUM(CG5:CG74)</f>
        <v>0</v>
      </c>
      <c r="CH75" s="30"/>
      <c r="CI75" s="30"/>
      <c r="CJ75" s="30">
        <f>SUM(CJ5:CJ74)</f>
        <v>0</v>
      </c>
      <c r="CK75" s="30"/>
      <c r="CL75" s="30"/>
      <c r="CM75" s="30">
        <f>SUM(CM5:CM74)</f>
        <v>0</v>
      </c>
      <c r="CN75" s="30"/>
      <c r="CO75" s="30"/>
      <c r="CP75" s="30">
        <f>SUM(CP5:CP74)</f>
        <v>0</v>
      </c>
      <c r="CQ75" s="30"/>
      <c r="CR75" s="30"/>
      <c r="CS75" s="30">
        <f>SUM(CS5:CS74)</f>
        <v>0</v>
      </c>
      <c r="CT75" s="30"/>
      <c r="CU75" s="30"/>
      <c r="CV75" s="30">
        <f>SUM(CV5:CV74)</f>
        <v>0</v>
      </c>
      <c r="CW75" s="30"/>
      <c r="CX75" s="30"/>
      <c r="CY75" s="30">
        <f>SUM(CY5:CY74)</f>
        <v>0</v>
      </c>
      <c r="CZ75" s="30"/>
      <c r="DA75" s="30"/>
      <c r="DB75" s="30">
        <f>SUM(DB5:DB74)</f>
        <v>0</v>
      </c>
      <c r="DC75" s="30"/>
      <c r="DD75" s="30"/>
      <c r="DE75" s="30">
        <f>SUM(DE5:DE74)</f>
        <v>0</v>
      </c>
      <c r="DF75" s="30"/>
      <c r="DG75" s="30"/>
      <c r="DH75" s="30">
        <f>SUM(DH5:DH74)</f>
        <v>0</v>
      </c>
      <c r="DI75" s="30"/>
      <c r="DJ75" s="30"/>
      <c r="DK75" s="30">
        <f>SUM(DK5:DK74)</f>
        <v>0</v>
      </c>
      <c r="DL75" s="30"/>
      <c r="DM75" s="30"/>
      <c r="DN75" s="30">
        <f>SUM(DN5:DN74)</f>
        <v>0</v>
      </c>
      <c r="DO75" s="30"/>
      <c r="DP75" s="30"/>
      <c r="DQ75" s="30">
        <f>SUM(DQ5:DQ74)</f>
        <v>0</v>
      </c>
      <c r="DR75" s="30"/>
      <c r="DS75" s="30"/>
      <c r="DT75" s="30">
        <f>SUM(DT5:DT74)</f>
        <v>0</v>
      </c>
      <c r="DU75" s="30"/>
      <c r="DV75" s="30"/>
      <c r="DW75" s="30">
        <f>SUM(DW5:DW74)</f>
        <v>0</v>
      </c>
      <c r="DX75" s="30"/>
      <c r="DY75" s="30"/>
      <c r="DZ75" s="30">
        <f>SUM(DZ5:DZ74)</f>
        <v>0</v>
      </c>
      <c r="EA75" s="30"/>
      <c r="EB75" s="30"/>
      <c r="EC75" s="30">
        <f>SUM(EC5:EC74)</f>
        <v>0</v>
      </c>
      <c r="ED75" s="30"/>
      <c r="EE75" s="30"/>
      <c r="EF75" s="30">
        <f>SUM(EF5:EF74)</f>
        <v>0</v>
      </c>
      <c r="EG75" s="30"/>
      <c r="EH75" s="30"/>
      <c r="EI75" s="30">
        <f>SUM(EI5:EI74)</f>
        <v>0</v>
      </c>
      <c r="EJ75" s="30"/>
      <c r="EK75" s="30"/>
      <c r="EL75" s="30">
        <f>SUM(EL5:EL74)</f>
        <v>0</v>
      </c>
      <c r="EM75" s="30"/>
      <c r="EN75" s="30"/>
      <c r="EO75" s="30">
        <f>SUM(EO5:EO74)</f>
        <v>0</v>
      </c>
    </row>
    <row r="76" spans="1:145">
      <c r="A76" s="15"/>
      <c r="B76" s="15"/>
      <c r="C76" s="15"/>
      <c r="D76" s="15"/>
      <c r="E76" s="15"/>
      <c r="F76" s="15"/>
      <c r="G76" s="15"/>
    </row>
    <row r="77" spans="1:145" ht="15.75">
      <c r="A77" s="61" t="s">
        <v>487</v>
      </c>
      <c r="B77" s="61"/>
      <c r="C77" s="61"/>
      <c r="D77" s="61"/>
      <c r="E77" s="61"/>
      <c r="F77" s="61"/>
      <c r="G77" s="61"/>
    </row>
    <row r="78" spans="1:145">
      <c r="A78" s="31" t="s">
        <v>488</v>
      </c>
      <c r="B78" s="31" t="s">
        <v>489</v>
      </c>
      <c r="C78" s="31" t="s">
        <v>490</v>
      </c>
      <c r="D78" s="31"/>
      <c r="E78" s="31" t="s">
        <v>491</v>
      </c>
      <c r="F78" s="31" t="s">
        <v>492</v>
      </c>
      <c r="G78" s="31" t="s">
        <v>493</v>
      </c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</row>
    <row r="79" spans="1:145">
      <c r="A79" s="16">
        <v>2</v>
      </c>
      <c r="B79" s="15">
        <v>1</v>
      </c>
      <c r="C79" s="17" t="s">
        <v>578</v>
      </c>
      <c r="D79" s="33" t="s">
        <v>579</v>
      </c>
      <c r="E79" s="26">
        <f>J75</f>
        <v>0</v>
      </c>
      <c r="F79" s="26">
        <f t="shared" ref="F79:F124" si="692">B79*E79</f>
        <v>0</v>
      </c>
      <c r="G79" s="15"/>
    </row>
    <row r="80" spans="1:145">
      <c r="A80" s="15">
        <v>3</v>
      </c>
      <c r="B80" s="15">
        <v>6</v>
      </c>
      <c r="C80" s="51" t="s">
        <v>580</v>
      </c>
      <c r="D80" s="33" t="s">
        <v>579</v>
      </c>
      <c r="E80" s="19">
        <f>M75</f>
        <v>0</v>
      </c>
      <c r="F80" s="26">
        <f t="shared" si="692"/>
        <v>0</v>
      </c>
      <c r="G80" s="15"/>
    </row>
    <row r="81" spans="1:147" s="12" customFormat="1">
      <c r="A81" s="15">
        <v>4</v>
      </c>
      <c r="B81" s="15">
        <v>8</v>
      </c>
      <c r="C81" s="17" t="s">
        <v>502</v>
      </c>
      <c r="D81" s="33" t="s">
        <v>579</v>
      </c>
      <c r="E81" s="19">
        <f>P75</f>
        <v>0</v>
      </c>
      <c r="F81" s="26">
        <f t="shared" si="692"/>
        <v>0</v>
      </c>
      <c r="G81" s="15"/>
      <c r="EP81" s="10"/>
      <c r="EQ81" s="10"/>
    </row>
    <row r="82" spans="1:147" s="12" customFormat="1">
      <c r="A82" s="15">
        <v>5</v>
      </c>
      <c r="B82" s="15">
        <v>3</v>
      </c>
      <c r="C82" s="17" t="s">
        <v>581</v>
      </c>
      <c r="D82" s="33" t="s">
        <v>579</v>
      </c>
      <c r="E82" s="19">
        <f>S75</f>
        <v>0</v>
      </c>
      <c r="F82" s="26">
        <f t="shared" si="692"/>
        <v>0</v>
      </c>
      <c r="G82" s="15"/>
      <c r="EP82" s="10"/>
      <c r="EQ82" s="10"/>
    </row>
    <row r="83" spans="1:147" s="12" customFormat="1">
      <c r="A83" s="15">
        <v>6</v>
      </c>
      <c r="B83" s="15">
        <v>1</v>
      </c>
      <c r="C83" s="17" t="s">
        <v>582</v>
      </c>
      <c r="D83" s="33" t="s">
        <v>579</v>
      </c>
      <c r="E83" s="19">
        <f>V75</f>
        <v>0</v>
      </c>
      <c r="F83" s="26">
        <f t="shared" si="692"/>
        <v>0</v>
      </c>
      <c r="G83" s="15"/>
      <c r="EP83" s="10"/>
      <c r="EQ83" s="10"/>
    </row>
    <row r="84" spans="1:147" s="12" customFormat="1">
      <c r="A84" s="34">
        <v>7</v>
      </c>
      <c r="B84" s="15">
        <v>2</v>
      </c>
      <c r="C84" s="33" t="s">
        <v>502</v>
      </c>
      <c r="D84" s="33" t="s">
        <v>579</v>
      </c>
      <c r="E84" s="19">
        <f>Y75</f>
        <v>0</v>
      </c>
      <c r="F84" s="26">
        <f t="shared" si="692"/>
        <v>0</v>
      </c>
      <c r="G84" s="35"/>
      <c r="EP84" s="10"/>
      <c r="EQ84" s="10"/>
    </row>
    <row r="85" spans="1:147" s="12" customFormat="1">
      <c r="A85" s="34">
        <v>8</v>
      </c>
      <c r="B85" s="15">
        <v>1</v>
      </c>
      <c r="C85" s="33" t="s">
        <v>59</v>
      </c>
      <c r="D85" s="33" t="s">
        <v>579</v>
      </c>
      <c r="E85" s="19">
        <f>AB75</f>
        <v>0</v>
      </c>
      <c r="F85" s="26">
        <f t="shared" si="692"/>
        <v>0</v>
      </c>
      <c r="G85" s="35"/>
      <c r="EP85" s="10"/>
      <c r="EQ85" s="10"/>
    </row>
    <row r="86" spans="1:147" s="12" customFormat="1">
      <c r="A86" s="34">
        <v>9</v>
      </c>
      <c r="B86" s="15">
        <v>1</v>
      </c>
      <c r="C86" s="16" t="s">
        <v>583</v>
      </c>
      <c r="D86" s="33" t="s">
        <v>579</v>
      </c>
      <c r="E86" s="26">
        <f>AE75</f>
        <v>0</v>
      </c>
      <c r="F86" s="26">
        <f t="shared" si="692"/>
        <v>0</v>
      </c>
      <c r="G86" s="35"/>
      <c r="EP86" s="10"/>
      <c r="EQ86" s="10"/>
    </row>
    <row r="87" spans="1:147" s="12" customFormat="1">
      <c r="A87" s="34">
        <v>10</v>
      </c>
      <c r="B87" s="15">
        <v>4</v>
      </c>
      <c r="C87" s="33" t="s">
        <v>584</v>
      </c>
      <c r="D87" s="33" t="s">
        <v>579</v>
      </c>
      <c r="E87" s="19">
        <f>AH75</f>
        <v>0</v>
      </c>
      <c r="F87" s="26">
        <f t="shared" si="692"/>
        <v>0</v>
      </c>
      <c r="G87" s="35"/>
      <c r="EP87" s="10"/>
      <c r="EQ87" s="10"/>
    </row>
    <row r="88" spans="1:147" s="12" customFormat="1">
      <c r="A88" s="34">
        <v>11</v>
      </c>
      <c r="B88" s="15">
        <v>1</v>
      </c>
      <c r="C88" s="33" t="s">
        <v>585</v>
      </c>
      <c r="D88" s="33" t="s">
        <v>579</v>
      </c>
      <c r="E88" s="19">
        <f>AK75</f>
        <v>0</v>
      </c>
      <c r="F88" s="26">
        <f t="shared" si="692"/>
        <v>0</v>
      </c>
      <c r="G88" s="35"/>
      <c r="EP88" s="10"/>
      <c r="EQ88" s="10"/>
    </row>
    <row r="89" spans="1:147" s="12" customFormat="1">
      <c r="A89" s="44" t="s">
        <v>425</v>
      </c>
      <c r="B89" s="43"/>
      <c r="C89" s="33"/>
      <c r="D89" s="33"/>
      <c r="E89" s="36">
        <f>AN75</f>
        <v>0</v>
      </c>
      <c r="F89" s="26">
        <f t="shared" si="692"/>
        <v>0</v>
      </c>
      <c r="G89" s="35"/>
      <c r="EP89" s="10"/>
      <c r="EQ89" s="10"/>
    </row>
    <row r="90" spans="1:147" s="12" customFormat="1">
      <c r="A90" s="44" t="s">
        <v>425</v>
      </c>
      <c r="B90" s="43"/>
      <c r="C90" s="33"/>
      <c r="D90" s="26"/>
      <c r="E90" s="36">
        <f>AQ75</f>
        <v>0</v>
      </c>
      <c r="F90" s="26">
        <f t="shared" si="692"/>
        <v>0</v>
      </c>
      <c r="G90" s="35"/>
      <c r="EP90" s="10"/>
      <c r="EQ90" s="10"/>
    </row>
    <row r="91" spans="1:147" s="12" customFormat="1">
      <c r="A91" s="44" t="s">
        <v>425</v>
      </c>
      <c r="B91" s="43"/>
      <c r="C91" s="26"/>
      <c r="D91" s="26"/>
      <c r="E91" s="36">
        <f>AT75</f>
        <v>0</v>
      </c>
      <c r="F91" s="26">
        <f t="shared" si="692"/>
        <v>0</v>
      </c>
      <c r="G91" s="35"/>
      <c r="EP91" s="10"/>
      <c r="EQ91" s="10"/>
    </row>
    <row r="92" spans="1:147" s="12" customFormat="1">
      <c r="A92" s="44" t="s">
        <v>425</v>
      </c>
      <c r="B92" s="43"/>
      <c r="C92" s="33"/>
      <c r="D92" s="26"/>
      <c r="E92" s="36">
        <f>AW75</f>
        <v>0</v>
      </c>
      <c r="F92" s="26">
        <f t="shared" si="692"/>
        <v>0</v>
      </c>
      <c r="G92" s="35"/>
      <c r="EP92" s="10"/>
      <c r="EQ92" s="10"/>
    </row>
    <row r="93" spans="1:147" s="12" customFormat="1">
      <c r="A93" s="34">
        <v>16</v>
      </c>
      <c r="B93" s="15">
        <v>3</v>
      </c>
      <c r="C93" s="33" t="s">
        <v>586</v>
      </c>
      <c r="D93" s="26" t="s">
        <v>579</v>
      </c>
      <c r="E93" s="36">
        <f>AZ75</f>
        <v>0</v>
      </c>
      <c r="F93" s="26">
        <f t="shared" si="692"/>
        <v>0</v>
      </c>
      <c r="G93" s="35"/>
      <c r="EP93" s="10"/>
      <c r="EQ93" s="10"/>
    </row>
    <row r="94" spans="1:147" s="12" customFormat="1">
      <c r="A94" s="34">
        <v>17</v>
      </c>
      <c r="B94" s="15">
        <v>1</v>
      </c>
      <c r="C94" s="26" t="s">
        <v>587</v>
      </c>
      <c r="D94" s="26" t="s">
        <v>579</v>
      </c>
      <c r="E94" s="36">
        <f>BC75</f>
        <v>0</v>
      </c>
      <c r="F94" s="26">
        <f t="shared" si="692"/>
        <v>0</v>
      </c>
      <c r="G94" s="35"/>
      <c r="EP94" s="10"/>
      <c r="EQ94" s="10"/>
    </row>
    <row r="95" spans="1:147" s="12" customFormat="1">
      <c r="A95" s="44" t="s">
        <v>425</v>
      </c>
      <c r="B95" s="43"/>
      <c r="C95" s="33"/>
      <c r="D95" s="26"/>
      <c r="E95" s="36">
        <f>BF75</f>
        <v>0</v>
      </c>
      <c r="F95" s="26">
        <f t="shared" si="692"/>
        <v>0</v>
      </c>
      <c r="G95" s="35"/>
      <c r="EP95" s="10"/>
      <c r="EQ95" s="10"/>
    </row>
    <row r="96" spans="1:147" s="12" customFormat="1">
      <c r="A96" s="44" t="s">
        <v>425</v>
      </c>
      <c r="B96" s="43"/>
      <c r="C96" s="33"/>
      <c r="D96" s="26"/>
      <c r="E96" s="36">
        <f>BI75</f>
        <v>0</v>
      </c>
      <c r="F96" s="26">
        <f t="shared" si="692"/>
        <v>0</v>
      </c>
      <c r="G96" s="35"/>
      <c r="EP96" s="10"/>
      <c r="EQ96" s="10"/>
    </row>
    <row r="97" spans="1:147" s="12" customFormat="1">
      <c r="A97" s="34">
        <v>20</v>
      </c>
      <c r="B97" s="15">
        <v>1</v>
      </c>
      <c r="C97" s="26" t="s">
        <v>588</v>
      </c>
      <c r="D97" s="26" t="s">
        <v>579</v>
      </c>
      <c r="E97" s="36">
        <f>BL75</f>
        <v>0</v>
      </c>
      <c r="F97" s="26">
        <f t="shared" si="692"/>
        <v>0</v>
      </c>
      <c r="G97" s="35"/>
      <c r="EP97" s="10"/>
      <c r="EQ97" s="10"/>
    </row>
    <row r="98" spans="1:147" s="12" customFormat="1">
      <c r="A98" s="44" t="s">
        <v>425</v>
      </c>
      <c r="B98" s="43"/>
      <c r="C98" s="26"/>
      <c r="D98" s="16"/>
      <c r="E98" s="36">
        <f>BO75</f>
        <v>0</v>
      </c>
      <c r="F98" s="26">
        <f t="shared" si="692"/>
        <v>0</v>
      </c>
      <c r="G98" s="35"/>
      <c r="EP98" s="10"/>
      <c r="EQ98" s="10"/>
    </row>
    <row r="99" spans="1:147" s="12" customFormat="1">
      <c r="A99" s="44" t="s">
        <v>425</v>
      </c>
      <c r="B99" s="43"/>
      <c r="C99" s="26"/>
      <c r="D99" s="16"/>
      <c r="E99" s="36">
        <f>BR75</f>
        <v>0</v>
      </c>
      <c r="F99" s="26">
        <f t="shared" si="692"/>
        <v>0</v>
      </c>
      <c r="G99" s="35"/>
      <c r="EP99" s="10"/>
      <c r="EQ99" s="10"/>
    </row>
    <row r="100" spans="1:147" s="12" customFormat="1">
      <c r="A100" s="44" t="s">
        <v>425</v>
      </c>
      <c r="B100" s="43"/>
      <c r="C100" s="26"/>
      <c r="D100" s="16"/>
      <c r="E100" s="36">
        <f>BU75</f>
        <v>0</v>
      </c>
      <c r="F100" s="26">
        <f t="shared" si="692"/>
        <v>0</v>
      </c>
      <c r="G100" s="35"/>
      <c r="EP100" s="10"/>
      <c r="EQ100" s="10"/>
    </row>
    <row r="101" spans="1:147" s="12" customFormat="1">
      <c r="A101" s="37" t="s">
        <v>245</v>
      </c>
      <c r="B101" s="15">
        <v>2</v>
      </c>
      <c r="C101" s="16" t="s">
        <v>501</v>
      </c>
      <c r="D101" s="16" t="s">
        <v>579</v>
      </c>
      <c r="E101" s="36">
        <f>BX75</f>
        <v>0</v>
      </c>
      <c r="F101" s="26">
        <f t="shared" si="692"/>
        <v>0</v>
      </c>
      <c r="G101" s="35"/>
      <c r="EP101" s="10"/>
      <c r="EQ101" s="10"/>
    </row>
    <row r="102" spans="1:147" s="12" customFormat="1">
      <c r="A102" s="44" t="s">
        <v>425</v>
      </c>
      <c r="B102" s="43"/>
      <c r="C102" s="16"/>
      <c r="D102" s="16"/>
      <c r="E102" s="36">
        <f>CA75</f>
        <v>0</v>
      </c>
      <c r="F102" s="26">
        <f t="shared" si="692"/>
        <v>0</v>
      </c>
      <c r="G102" s="35"/>
      <c r="EP102" s="10"/>
      <c r="EQ102" s="10"/>
    </row>
    <row r="103" spans="1:147" s="12" customFormat="1">
      <c r="A103" s="44" t="s">
        <v>425</v>
      </c>
      <c r="B103" s="43"/>
      <c r="C103" s="33"/>
      <c r="D103" s="16"/>
      <c r="E103" s="36">
        <f>CD75</f>
        <v>0</v>
      </c>
      <c r="F103" s="26">
        <f t="shared" si="692"/>
        <v>0</v>
      </c>
      <c r="G103" s="35"/>
      <c r="EP103" s="10"/>
      <c r="EQ103" s="10"/>
    </row>
    <row r="104" spans="1:147" s="12" customFormat="1">
      <c r="A104" s="44" t="s">
        <v>425</v>
      </c>
      <c r="B104" s="43"/>
      <c r="C104" s="33"/>
      <c r="D104" s="16"/>
      <c r="E104" s="36">
        <f>CG75</f>
        <v>0</v>
      </c>
      <c r="F104" s="26">
        <f t="shared" si="692"/>
        <v>0</v>
      </c>
      <c r="G104" s="35"/>
      <c r="EP104" s="10"/>
      <c r="EQ104" s="10"/>
    </row>
    <row r="105" spans="1:147" s="12" customFormat="1">
      <c r="A105" s="44" t="s">
        <v>425</v>
      </c>
      <c r="B105" s="43"/>
      <c r="C105" s="33"/>
      <c r="D105" s="16"/>
      <c r="E105" s="36">
        <f>CJ75</f>
        <v>0</v>
      </c>
      <c r="F105" s="26">
        <f t="shared" si="692"/>
        <v>0</v>
      </c>
      <c r="G105" s="35"/>
      <c r="EP105" s="10"/>
      <c r="EQ105" s="10"/>
    </row>
    <row r="106" spans="1:147" s="12" customFormat="1">
      <c r="A106" s="44" t="s">
        <v>425</v>
      </c>
      <c r="B106" s="43"/>
      <c r="C106" s="33"/>
      <c r="D106" s="16"/>
      <c r="E106" s="36">
        <f>CM75</f>
        <v>0</v>
      </c>
      <c r="F106" s="26">
        <f t="shared" si="692"/>
        <v>0</v>
      </c>
      <c r="G106" s="35"/>
      <c r="EP106" s="10"/>
      <c r="EQ106" s="10"/>
    </row>
    <row r="107" spans="1:147" s="12" customFormat="1">
      <c r="A107" s="44" t="s">
        <v>425</v>
      </c>
      <c r="B107" s="43"/>
      <c r="C107" s="33"/>
      <c r="D107" s="16"/>
      <c r="E107" s="36">
        <f>CP75</f>
        <v>0</v>
      </c>
      <c r="F107" s="26">
        <f t="shared" si="692"/>
        <v>0</v>
      </c>
      <c r="G107" s="35"/>
      <c r="EP107" s="10"/>
      <c r="EQ107" s="10"/>
    </row>
    <row r="108" spans="1:147" s="12" customFormat="1">
      <c r="A108" s="44" t="s">
        <v>425</v>
      </c>
      <c r="B108" s="43"/>
      <c r="C108" s="33"/>
      <c r="D108" s="16"/>
      <c r="E108" s="36">
        <f>CS75</f>
        <v>0</v>
      </c>
      <c r="F108" s="26">
        <f t="shared" si="692"/>
        <v>0</v>
      </c>
      <c r="G108" s="35"/>
      <c r="EP108" s="10"/>
      <c r="EQ108" s="10"/>
    </row>
    <row r="109" spans="1:147" s="12" customFormat="1">
      <c r="A109" s="44" t="s">
        <v>425</v>
      </c>
      <c r="B109" s="43"/>
      <c r="C109" s="33"/>
      <c r="D109" s="16"/>
      <c r="E109" s="36">
        <f>CV75</f>
        <v>0</v>
      </c>
      <c r="F109" s="26">
        <f t="shared" si="692"/>
        <v>0</v>
      </c>
      <c r="G109" s="35"/>
      <c r="EP109" s="10"/>
      <c r="EQ109" s="10"/>
    </row>
    <row r="110" spans="1:147" s="12" customFormat="1">
      <c r="A110" s="44" t="s">
        <v>425</v>
      </c>
      <c r="B110" s="43"/>
      <c r="C110" s="33"/>
      <c r="D110" s="16"/>
      <c r="E110" s="36">
        <f>CY75</f>
        <v>0</v>
      </c>
      <c r="F110" s="26">
        <f t="shared" si="692"/>
        <v>0</v>
      </c>
      <c r="G110" s="35"/>
      <c r="EP110" s="10"/>
      <c r="EQ110" s="10"/>
    </row>
    <row r="111" spans="1:147" s="12" customFormat="1">
      <c r="A111" s="44" t="s">
        <v>425</v>
      </c>
      <c r="B111" s="43"/>
      <c r="C111" s="16"/>
      <c r="D111" s="16"/>
      <c r="E111" s="36">
        <f>DB75</f>
        <v>0</v>
      </c>
      <c r="F111" s="26">
        <f t="shared" si="692"/>
        <v>0</v>
      </c>
      <c r="G111" s="35"/>
      <c r="EP111" s="10"/>
      <c r="EQ111" s="10"/>
    </row>
    <row r="112" spans="1:147" s="12" customFormat="1">
      <c r="A112" s="44" t="s">
        <v>425</v>
      </c>
      <c r="B112" s="43"/>
      <c r="C112" s="16"/>
      <c r="D112" s="16"/>
      <c r="E112" s="36">
        <f>DE75</f>
        <v>0</v>
      </c>
      <c r="F112" s="26">
        <f t="shared" si="692"/>
        <v>0</v>
      </c>
      <c r="G112" s="35"/>
      <c r="EP112" s="10"/>
      <c r="EQ112" s="10"/>
    </row>
    <row r="113" spans="1:147">
      <c r="A113" s="34">
        <v>35</v>
      </c>
      <c r="B113" s="15">
        <v>1</v>
      </c>
      <c r="C113" s="16" t="s">
        <v>589</v>
      </c>
      <c r="D113" s="16" t="s">
        <v>579</v>
      </c>
      <c r="E113" s="36">
        <f>DH75</f>
        <v>0</v>
      </c>
      <c r="F113" s="26">
        <f t="shared" si="692"/>
        <v>0</v>
      </c>
      <c r="G113" s="35"/>
    </row>
    <row r="114" spans="1:147">
      <c r="A114" s="44" t="s">
        <v>425</v>
      </c>
      <c r="B114" s="43"/>
      <c r="C114" s="26"/>
      <c r="D114" s="16"/>
      <c r="E114" s="36">
        <f>DK75</f>
        <v>0</v>
      </c>
      <c r="F114" s="26">
        <f t="shared" si="692"/>
        <v>0</v>
      </c>
      <c r="G114" s="35"/>
    </row>
    <row r="115" spans="1:147">
      <c r="A115" s="44" t="s">
        <v>425</v>
      </c>
      <c r="B115" s="43"/>
      <c r="C115" s="26"/>
      <c r="D115" s="16"/>
      <c r="E115" s="36">
        <f>DN75</f>
        <v>0</v>
      </c>
      <c r="F115" s="26">
        <f t="shared" si="692"/>
        <v>0</v>
      </c>
      <c r="G115" s="35"/>
    </row>
    <row r="116" spans="1:147">
      <c r="A116" s="44" t="s">
        <v>425</v>
      </c>
      <c r="B116" s="43"/>
      <c r="C116" s="16"/>
      <c r="D116" s="16"/>
      <c r="E116" s="36">
        <f>DQ75</f>
        <v>0</v>
      </c>
      <c r="F116" s="26">
        <f t="shared" si="692"/>
        <v>0</v>
      </c>
      <c r="G116" s="35"/>
    </row>
    <row r="117" spans="1:147">
      <c r="A117" s="44" t="s">
        <v>425</v>
      </c>
      <c r="B117" s="43"/>
      <c r="C117" s="16"/>
      <c r="D117" s="16"/>
      <c r="E117" s="36">
        <f>DT75</f>
        <v>0</v>
      </c>
      <c r="F117" s="26">
        <f t="shared" si="692"/>
        <v>0</v>
      </c>
      <c r="G117" s="35"/>
    </row>
    <row r="118" spans="1:147">
      <c r="A118" s="34">
        <v>40</v>
      </c>
      <c r="B118" s="15">
        <v>1</v>
      </c>
      <c r="C118" s="16" t="s">
        <v>589</v>
      </c>
      <c r="D118" s="16" t="s">
        <v>579</v>
      </c>
      <c r="E118" s="36">
        <f>DW75</f>
        <v>0</v>
      </c>
      <c r="F118" s="26">
        <f t="shared" si="692"/>
        <v>0</v>
      </c>
      <c r="G118" s="35"/>
    </row>
    <row r="119" spans="1:147" s="12" customFormat="1">
      <c r="A119" s="34">
        <v>41</v>
      </c>
      <c r="B119" s="15">
        <v>1</v>
      </c>
      <c r="C119" s="16" t="s">
        <v>590</v>
      </c>
      <c r="D119" s="16" t="s">
        <v>579</v>
      </c>
      <c r="E119" s="36">
        <f>DZ75</f>
        <v>0</v>
      </c>
      <c r="F119" s="26">
        <f t="shared" si="692"/>
        <v>0</v>
      </c>
      <c r="G119" s="35"/>
      <c r="EP119" s="10"/>
      <c r="EQ119" s="10"/>
    </row>
    <row r="120" spans="1:147" s="12" customFormat="1">
      <c r="A120" s="34">
        <v>42</v>
      </c>
      <c r="B120" s="15">
        <v>3</v>
      </c>
      <c r="C120" s="16" t="s">
        <v>591</v>
      </c>
      <c r="D120" s="16" t="s">
        <v>579</v>
      </c>
      <c r="E120" s="36">
        <f>EC75</f>
        <v>0</v>
      </c>
      <c r="F120" s="26">
        <f t="shared" si="692"/>
        <v>0</v>
      </c>
      <c r="G120" s="35"/>
      <c r="EP120" s="10"/>
      <c r="EQ120" s="10"/>
    </row>
    <row r="121" spans="1:147" s="12" customFormat="1">
      <c r="A121" s="34">
        <v>43</v>
      </c>
      <c r="B121" s="15">
        <v>2</v>
      </c>
      <c r="C121" s="16" t="s">
        <v>592</v>
      </c>
      <c r="D121" s="16" t="s">
        <v>579</v>
      </c>
      <c r="E121" s="36">
        <f>EF75</f>
        <v>0</v>
      </c>
      <c r="F121" s="26">
        <f t="shared" si="692"/>
        <v>0</v>
      </c>
      <c r="G121" s="35"/>
      <c r="EP121" s="10"/>
      <c r="EQ121" s="10"/>
    </row>
    <row r="122" spans="1:147" s="12" customFormat="1">
      <c r="A122" s="44" t="s">
        <v>425</v>
      </c>
      <c r="B122" s="43"/>
      <c r="C122" s="16"/>
      <c r="D122" s="16"/>
      <c r="E122" s="36">
        <f>EI75</f>
        <v>0</v>
      </c>
      <c r="F122" s="26">
        <f t="shared" si="692"/>
        <v>0</v>
      </c>
      <c r="G122" s="35"/>
      <c r="EP122" s="10"/>
      <c r="EQ122" s="10"/>
    </row>
    <row r="123" spans="1:147" s="12" customFormat="1">
      <c r="A123" s="34"/>
      <c r="B123" s="15"/>
      <c r="C123" s="15"/>
      <c r="D123" s="15"/>
      <c r="E123" s="36">
        <f>EL75</f>
        <v>0</v>
      </c>
      <c r="F123" s="26">
        <f t="shared" si="692"/>
        <v>0</v>
      </c>
      <c r="G123" s="35"/>
      <c r="EP123" s="10"/>
      <c r="EQ123" s="10"/>
    </row>
    <row r="124" spans="1:147" s="12" customFormat="1">
      <c r="A124" s="34"/>
      <c r="B124" s="15"/>
      <c r="C124" s="15"/>
      <c r="D124" s="15"/>
      <c r="E124" s="36">
        <f>EO75</f>
        <v>0</v>
      </c>
      <c r="F124" s="26">
        <f t="shared" si="692"/>
        <v>0</v>
      </c>
      <c r="G124" s="35"/>
      <c r="EP124" s="10"/>
      <c r="EQ124" s="10"/>
    </row>
    <row r="125" spans="1:147" s="12" customFormat="1" ht="19.5" thickBot="1">
      <c r="A125" s="38"/>
      <c r="B125" s="39"/>
      <c r="C125" s="39" t="s">
        <v>507</v>
      </c>
      <c r="D125" s="39"/>
      <c r="E125" s="39"/>
      <c r="F125" s="40">
        <f>SUM(F79:F124)</f>
        <v>0</v>
      </c>
      <c r="G125" s="41"/>
      <c r="EP125" s="10"/>
      <c r="EQ125" s="10"/>
    </row>
  </sheetData>
  <autoFilter ref="A4:EQ73" xr:uid="{4B5D063F-8561-4358-B41F-A057FE8AF376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  <filterColumn colId="43" showButton="0"/>
    <filterColumn colId="44" showButton="0"/>
    <filterColumn colId="46" showButton="0"/>
    <filterColumn colId="47" showButton="0"/>
    <filterColumn colId="49" showButton="0"/>
    <filterColumn colId="50" showButton="0"/>
    <filterColumn colId="52" showButton="0"/>
    <filterColumn colId="53" showButton="0"/>
    <filterColumn colId="55" showButton="0"/>
    <filterColumn colId="56" showButton="0"/>
    <filterColumn colId="58" showButton="0"/>
    <filterColumn colId="59" showButton="0"/>
    <filterColumn colId="61" showButton="0"/>
    <filterColumn colId="62" showButton="0"/>
    <filterColumn colId="64" showButton="0"/>
    <filterColumn colId="65" showButton="0"/>
    <filterColumn colId="67" showButton="0"/>
    <filterColumn colId="68" showButton="0"/>
    <filterColumn colId="70" showButton="0"/>
    <filterColumn colId="71" showButton="0"/>
    <filterColumn colId="73" showButton="0"/>
    <filterColumn colId="74" showButton="0"/>
    <filterColumn colId="76" showButton="0"/>
    <filterColumn colId="77" showButton="0"/>
    <filterColumn colId="79" showButton="0"/>
    <filterColumn colId="80" showButton="0"/>
    <filterColumn colId="82" showButton="0"/>
    <filterColumn colId="83" showButton="0"/>
    <filterColumn colId="85" showButton="0"/>
    <filterColumn colId="86" showButton="0"/>
    <filterColumn colId="88" showButton="0"/>
    <filterColumn colId="89" showButton="0"/>
    <filterColumn colId="91" showButton="0"/>
    <filterColumn colId="92" showButton="0"/>
    <filterColumn colId="94" showButton="0"/>
    <filterColumn colId="95" showButton="0"/>
    <filterColumn colId="97" showButton="0"/>
    <filterColumn colId="98" showButton="0"/>
    <filterColumn colId="100" showButton="0"/>
    <filterColumn colId="101" showButton="0"/>
    <filterColumn colId="103" showButton="0"/>
    <filterColumn colId="104" showButton="0"/>
    <filterColumn colId="106" showButton="0"/>
    <filterColumn colId="107" showButton="0"/>
    <filterColumn colId="109" showButton="0"/>
    <filterColumn colId="110" showButton="0"/>
    <filterColumn colId="112" showButton="0"/>
    <filterColumn colId="113" showButton="0"/>
    <filterColumn colId="115" showButton="0"/>
    <filterColumn colId="116" showButton="0"/>
    <filterColumn colId="118" showButton="0"/>
    <filterColumn colId="119" showButton="0"/>
    <filterColumn colId="121" showButton="0"/>
    <filterColumn colId="122" showButton="0"/>
    <filterColumn colId="124" showButton="0"/>
    <filterColumn colId="125" showButton="0"/>
    <filterColumn colId="127" showButton="0"/>
    <filterColumn colId="128" showButton="0"/>
    <filterColumn colId="130" showButton="0"/>
    <filterColumn colId="131" showButton="0"/>
    <filterColumn colId="133" showButton="0"/>
    <filterColumn colId="134" showButton="0"/>
    <filterColumn colId="136" showButton="0"/>
    <filterColumn colId="137" showButton="0"/>
    <filterColumn colId="139" showButton="0"/>
    <filterColumn colId="140" showButton="0"/>
    <filterColumn colId="142" showButton="0"/>
    <filterColumn colId="143" showButton="0"/>
  </autoFilter>
  <mergeCells count="55">
    <mergeCell ref="A3:G3"/>
    <mergeCell ref="A4:A5"/>
    <mergeCell ref="B4:B5"/>
    <mergeCell ref="C4:C5"/>
    <mergeCell ref="D4:D5"/>
    <mergeCell ref="E4:E5"/>
    <mergeCell ref="F4:F5"/>
    <mergeCell ref="G4:G5"/>
    <mergeCell ref="AO4:AQ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BY4:CA4"/>
    <mergeCell ref="AR4:AT4"/>
    <mergeCell ref="AU4:AW4"/>
    <mergeCell ref="AX4:AZ4"/>
    <mergeCell ref="BA4:BC4"/>
    <mergeCell ref="BD4:BF4"/>
    <mergeCell ref="BG4:BI4"/>
    <mergeCell ref="BJ4:BL4"/>
    <mergeCell ref="BM4:BO4"/>
    <mergeCell ref="BP4:BR4"/>
    <mergeCell ref="BS4:BU4"/>
    <mergeCell ref="BV4:BX4"/>
    <mergeCell ref="DI4:DK4"/>
    <mergeCell ref="CB4:CD4"/>
    <mergeCell ref="CE4:CG4"/>
    <mergeCell ref="CH4:CJ4"/>
    <mergeCell ref="CK4:CM4"/>
    <mergeCell ref="CN4:CP4"/>
    <mergeCell ref="CQ4:CS4"/>
    <mergeCell ref="ED4:EF4"/>
    <mergeCell ref="EG4:EI4"/>
    <mergeCell ref="EJ4:EL4"/>
    <mergeCell ref="EM4:EO4"/>
    <mergeCell ref="A77:G77"/>
    <mergeCell ref="DL4:DN4"/>
    <mergeCell ref="DO4:DQ4"/>
    <mergeCell ref="DR4:DT4"/>
    <mergeCell ref="DU4:DW4"/>
    <mergeCell ref="DX4:DZ4"/>
    <mergeCell ref="EA4:EC4"/>
    <mergeCell ref="CT4:CV4"/>
    <mergeCell ref="CW4:CY4"/>
    <mergeCell ref="CZ4:DB4"/>
    <mergeCell ref="DC4:DE4"/>
    <mergeCell ref="DF4:D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2.75"/>
  <cols>
    <col min="2" max="2" width="27" bestFit="1" customWidth="1"/>
  </cols>
  <sheetData>
    <row r="1" spans="1:2">
      <c r="A1">
        <v>1</v>
      </c>
      <c r="B1" s="42" t="s">
        <v>593</v>
      </c>
    </row>
    <row r="2" spans="1:2">
      <c r="A2">
        <v>2</v>
      </c>
      <c r="B2" s="42" t="s">
        <v>594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3ec0a7-cb26-4a19-a9f4-7854b72cfcc3" xsi:nil="true"/>
    <lcf76f155ced4ddcb4097134ff3c332f xmlns="f4683025-9c42-44ea-80cb-4f4a1836e59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EBE22247911548952AE7FF8BF28ADD" ma:contentTypeVersion="10" ma:contentTypeDescription="Create a new document." ma:contentTypeScope="" ma:versionID="8167116cf94a9a0b9b8edad81304a04e">
  <xsd:schema xmlns:xsd="http://www.w3.org/2001/XMLSchema" xmlns:xs="http://www.w3.org/2001/XMLSchema" xmlns:p="http://schemas.microsoft.com/office/2006/metadata/properties" xmlns:ns2="f4683025-9c42-44ea-80cb-4f4a1836e593" xmlns:ns3="083ec0a7-cb26-4a19-a9f4-7854b72cfcc3" targetNamespace="http://schemas.microsoft.com/office/2006/metadata/properties" ma:root="true" ma:fieldsID="d0c6d22f62e7eafc5512db51b1ee5874" ns2:_="" ns3:_="">
    <xsd:import namespace="f4683025-9c42-44ea-80cb-4f4a1836e593"/>
    <xsd:import namespace="083ec0a7-cb26-4a19-a9f4-7854b72cfc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83025-9c42-44ea-80cb-4f4a1836e5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bb084e-5165-4081-9e07-0c2ad2c2b0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3ec0a7-cb26-4a19-a9f4-7854b72cfc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b887e-a524-4c53-a3d8-ec61126cf132}" ma:internalName="TaxCatchAll" ma:showField="CatchAllData" ma:web="083ec0a7-cb26-4a19-a9f4-7854b72cfc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580E0D-A4B8-4DA3-9831-E711F2FBC569}">
  <ds:schemaRefs>
    <ds:schemaRef ds:uri="http://schemas.microsoft.com/office/2006/metadata/properties"/>
    <ds:schemaRef ds:uri="http://schemas.microsoft.com/office/infopath/2007/PartnerControls"/>
    <ds:schemaRef ds:uri="00ee8997-12a3-4f54-827d-c3a6d9137275"/>
    <ds:schemaRef ds:uri="c0f906eb-7a73-48d0-97c5-010c0c66f63c"/>
  </ds:schemaRefs>
</ds:datastoreItem>
</file>

<file path=customXml/itemProps2.xml><?xml version="1.0" encoding="utf-8"?>
<ds:datastoreItem xmlns:ds="http://schemas.openxmlformats.org/officeDocument/2006/customXml" ds:itemID="{22101BBD-646D-441F-A539-11E2E85372B2}"/>
</file>

<file path=customXml/itemProps3.xml><?xml version="1.0" encoding="utf-8"?>
<ds:datastoreItem xmlns:ds="http://schemas.openxmlformats.org/officeDocument/2006/customXml" ds:itemID="{7B7E6550-C474-4C01-B3B5-A77B784320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WOOD DOOR</vt:lpstr>
      <vt:lpstr>HM DOOR</vt:lpstr>
      <vt:lpstr>ALL DOOR</vt:lpstr>
      <vt:lpstr>Hardware - WD</vt:lpstr>
      <vt:lpstr>Hardware - HM</vt:lpstr>
      <vt:lpstr>Hardware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</dc:creator>
  <cp:keywords/>
  <dc:description/>
  <cp:lastModifiedBy>Mahveer Shah</cp:lastModifiedBy>
  <cp:revision/>
  <dcterms:created xsi:type="dcterms:W3CDTF">2026-03-13T05:04:00Z</dcterms:created>
  <dcterms:modified xsi:type="dcterms:W3CDTF">2026-05-05T09:29:21Z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Bluebeam Stapler 21.8.0.13613</vt:lpwstr>
  </property>
  <property fmtid="{D5CDD505-2E9C-101B-9397-08002B2CF9AE}" pid="4" name="LastSaved">
    <vt:filetime>2026-03-13T00:00:00Z</vt:filetime>
  </property>
  <property fmtid="{D5CDD505-2E9C-101B-9397-08002B2CF9AE}" pid="5" name="Producer">
    <vt:lpwstr>Bluebeam Brewery 5.0</vt:lpwstr>
  </property>
  <property fmtid="{D5CDD505-2E9C-101B-9397-08002B2CF9AE}" pid="6" name="KSOReadingLayout">
    <vt:bool>true</vt:bool>
  </property>
  <property fmtid="{D5CDD505-2E9C-101B-9397-08002B2CF9AE}" pid="7" name="ICV">
    <vt:lpwstr>2D57CCE5E9AA4A0AAB7AEE99EE9048BA_12</vt:lpwstr>
  </property>
  <property fmtid="{D5CDD505-2E9C-101B-9397-08002B2CF9AE}" pid="8" name="KSOProductBuildVer">
    <vt:lpwstr>1033-12.2.0.23196</vt:lpwstr>
  </property>
  <property fmtid="{D5CDD505-2E9C-101B-9397-08002B2CF9AE}" pid="9" name="ContentTypeId">
    <vt:lpwstr>0x010100FEEBE22247911548952AE7FF8BF28ADD</vt:lpwstr>
  </property>
  <property fmtid="{D5CDD505-2E9C-101B-9397-08002B2CF9AE}" pid="10" name="MediaServiceImageTags">
    <vt:lpwstr/>
  </property>
  <property fmtid="{D5CDD505-2E9C-101B-9397-08002B2CF9AE}" pid="11" name="Order">
    <vt:r8>1878800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TriggerFlowInfo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_SourceUrl">
    <vt:lpwstr/>
  </property>
  <property fmtid="{D5CDD505-2E9C-101B-9397-08002B2CF9AE}" pid="19" name="_SharedFileIndex">
    <vt:lpwstr/>
  </property>
</Properties>
</file>